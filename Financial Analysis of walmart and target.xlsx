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mc:AlternateContent xmlns:mc="http://schemas.openxmlformats.org/markup-compatibility/2006">
    <mc:Choice Requires="x15">
      <x15ac:absPath xmlns:x15ac="http://schemas.microsoft.com/office/spreadsheetml/2010/11/ac" url="/Users/victoriaanatsui/Desktop/FINC601/"/>
    </mc:Choice>
  </mc:AlternateContent>
  <xr:revisionPtr revIDLastSave="0" documentId="13_ncr:1_{90C78243-2F54-044E-909A-1DB69FF22F66}" xr6:coauthVersionLast="47" xr6:coauthVersionMax="47" xr10:uidLastSave="{00000000-0000-0000-0000-000000000000}"/>
  <bookViews>
    <workbookView xWindow="2660" yWindow="500" windowWidth="26140" windowHeight="16460" activeTab="7" xr2:uid="{78C603DB-9E48-2B46-882E-287B540AF3B3}"/>
  </bookViews>
  <sheets>
    <sheet name="Walmart" sheetId="2" r:id="rId1"/>
    <sheet name="Walmart (12-5)" sheetId="8" r:id="rId2"/>
    <sheet name="Walmart (12-4)" sheetId="11" r:id="rId3"/>
    <sheet name="Walmart (12-3)" sheetId="12" r:id="rId4"/>
    <sheet name="Walmart (12-2)" sheetId="13" r:id="rId5"/>
    <sheet name="Target" sheetId="3" r:id="rId6"/>
    <sheet name="Target (12-5)" sheetId="9" r:id="rId7"/>
    <sheet name="Target (12-4)" sheetId="16" r:id="rId8"/>
    <sheet name="Target (12-3)" sheetId="14" r:id="rId9"/>
    <sheet name="Target (12-2)" sheetId="15" r:id="rId10"/>
    <sheet name="Market Multiple Approach" sheetId="7" r:id="rId11"/>
    <sheet name="Comparision of 3 methods" sheetId="6" r:id="rId12"/>
    <sheet name="Sheet2" sheetId="5" r:id="rId13"/>
  </sheets>
  <definedNames>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Walmart!$B$170</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14" l="1"/>
  <c r="F20" i="14" s="1"/>
  <c r="G20" i="14" s="1"/>
  <c r="H20" i="14" s="1"/>
  <c r="I20" i="14" s="1"/>
  <c r="D23" i="14"/>
  <c r="E23" i="14"/>
  <c r="F23" i="14"/>
  <c r="G23" i="14" s="1"/>
  <c r="H23" i="14" s="1"/>
  <c r="I23" i="14" s="1"/>
  <c r="D24" i="14"/>
  <c r="E24" i="14"/>
  <c r="F24" i="14"/>
  <c r="G24" i="14"/>
  <c r="H24" i="14"/>
  <c r="I24" i="14" s="1"/>
  <c r="D25" i="14"/>
  <c r="E25" i="14"/>
  <c r="F25" i="14"/>
  <c r="G25" i="14"/>
  <c r="H25" i="14"/>
  <c r="I25" i="14"/>
  <c r="D26" i="14"/>
  <c r="E26" i="14" s="1"/>
  <c r="F26" i="14" s="1"/>
  <c r="G26" i="14" s="1"/>
  <c r="H26" i="14" s="1"/>
  <c r="I26" i="14" s="1"/>
  <c r="D27" i="14"/>
  <c r="D40" i="14" s="1"/>
  <c r="E40" i="14" s="1"/>
  <c r="D28" i="14"/>
  <c r="E28" i="14"/>
  <c r="F28" i="14"/>
  <c r="G28" i="14"/>
  <c r="H28" i="14"/>
  <c r="I28" i="14" s="1"/>
  <c r="D31" i="14"/>
  <c r="E31" i="14"/>
  <c r="F31" i="14"/>
  <c r="G31" i="14"/>
  <c r="H31" i="14"/>
  <c r="I31" i="14"/>
  <c r="D33" i="14"/>
  <c r="E33" i="14"/>
  <c r="F33" i="14"/>
  <c r="G33" i="14" s="1"/>
  <c r="H33" i="14" s="1"/>
  <c r="I33" i="14" s="1"/>
  <c r="D39" i="14"/>
  <c r="E39" i="14" s="1"/>
  <c r="E20" i="12"/>
  <c r="F20" i="12" s="1"/>
  <c r="G20" i="12" s="1"/>
  <c r="H20" i="12" s="1"/>
  <c r="I20" i="12" s="1"/>
  <c r="D23" i="12"/>
  <c r="D39" i="12" s="1"/>
  <c r="D24" i="12"/>
  <c r="E24" i="12"/>
  <c r="F24" i="12"/>
  <c r="G24" i="12" s="1"/>
  <c r="H24" i="12" s="1"/>
  <c r="I24" i="12" s="1"/>
  <c r="D25" i="12"/>
  <c r="E25" i="12" s="1"/>
  <c r="F25" i="12" s="1"/>
  <c r="G25" i="12" s="1"/>
  <c r="H25" i="12" s="1"/>
  <c r="I25" i="12" s="1"/>
  <c r="D26" i="12"/>
  <c r="E26" i="12" s="1"/>
  <c r="F26" i="12" s="1"/>
  <c r="G26" i="12" s="1"/>
  <c r="H26" i="12" s="1"/>
  <c r="I26" i="12" s="1"/>
  <c r="D27" i="12"/>
  <c r="E27" i="12" s="1"/>
  <c r="F27" i="12" s="1"/>
  <c r="G27" i="12" s="1"/>
  <c r="H27" i="12" s="1"/>
  <c r="I27" i="12" s="1"/>
  <c r="D28" i="12"/>
  <c r="E28" i="12"/>
  <c r="F28" i="12"/>
  <c r="G28" i="12" s="1"/>
  <c r="H28" i="12" s="1"/>
  <c r="I28" i="12" s="1"/>
  <c r="D31" i="12"/>
  <c r="E31" i="12"/>
  <c r="F31" i="12"/>
  <c r="G31" i="12"/>
  <c r="H31" i="12"/>
  <c r="I31" i="12" s="1"/>
  <c r="D32" i="12"/>
  <c r="E32" i="12" s="1"/>
  <c r="F32" i="12" s="1"/>
  <c r="G32" i="12" s="1"/>
  <c r="H32" i="12" s="1"/>
  <c r="I32" i="12" s="1"/>
  <c r="D33" i="12"/>
  <c r="E33" i="12" s="1"/>
  <c r="F33" i="12" s="1"/>
  <c r="G33" i="12" s="1"/>
  <c r="H33" i="12" s="1"/>
  <c r="I33" i="12" s="1"/>
  <c r="D40" i="12"/>
  <c r="E40" i="12" s="1"/>
  <c r="J42" i="14" l="1"/>
  <c r="F40" i="14"/>
  <c r="G40" i="14" s="1"/>
  <c r="H40" i="14" s="1"/>
  <c r="I40" i="14" s="1"/>
  <c r="F39" i="14"/>
  <c r="E41" i="14"/>
  <c r="E27" i="14"/>
  <c r="F27" i="14" s="1"/>
  <c r="G27" i="14" s="1"/>
  <c r="H27" i="14" s="1"/>
  <c r="I27" i="14" s="1"/>
  <c r="D32" i="14"/>
  <c r="D41" i="14"/>
  <c r="J42" i="12"/>
  <c r="F40" i="12"/>
  <c r="G40" i="12" s="1"/>
  <c r="H40" i="12" s="1"/>
  <c r="I40" i="12" s="1"/>
  <c r="E39" i="12"/>
  <c r="D41" i="12"/>
  <c r="E23" i="12"/>
  <c r="F23" i="12" s="1"/>
  <c r="G23" i="12" s="1"/>
  <c r="H23" i="12" s="1"/>
  <c r="I23" i="12" s="1"/>
  <c r="D35" i="12"/>
  <c r="E32" i="14" l="1"/>
  <c r="F32" i="14" s="1"/>
  <c r="G32" i="14" s="1"/>
  <c r="H32" i="14" s="1"/>
  <c r="I32" i="14" s="1"/>
  <c r="D35" i="14"/>
  <c r="G39" i="14"/>
  <c r="F41" i="14"/>
  <c r="D36" i="12"/>
  <c r="E36" i="12" s="1"/>
  <c r="F36" i="12" s="1"/>
  <c r="G36" i="12" s="1"/>
  <c r="H36" i="12" s="1"/>
  <c r="I36" i="12" s="1"/>
  <c r="E35" i="12"/>
  <c r="F35" i="12" s="1"/>
  <c r="G35" i="12" s="1"/>
  <c r="H35" i="12" s="1"/>
  <c r="I35" i="12" s="1"/>
  <c r="F39" i="12"/>
  <c r="E41" i="12"/>
  <c r="G41" i="14" l="1"/>
  <c r="H39" i="14"/>
  <c r="D36" i="14"/>
  <c r="E36" i="14" s="1"/>
  <c r="F36" i="14" s="1"/>
  <c r="G36" i="14" s="1"/>
  <c r="H36" i="14" s="1"/>
  <c r="I36" i="14" s="1"/>
  <c r="E35" i="14"/>
  <c r="F35" i="14" s="1"/>
  <c r="G35" i="14" s="1"/>
  <c r="H35" i="14" s="1"/>
  <c r="I35" i="14" s="1"/>
  <c r="G39" i="12"/>
  <c r="F41" i="12"/>
  <c r="H41" i="14" l="1"/>
  <c r="I39" i="14"/>
  <c r="I41" i="14" s="1"/>
  <c r="H39" i="12"/>
  <c r="G41" i="12"/>
  <c r="K59" i="14" l="1"/>
  <c r="B54" i="14"/>
  <c r="K56" i="14" s="1"/>
  <c r="B56" i="14" s="1"/>
  <c r="B58" i="14" s="1"/>
  <c r="B59" i="14" s="1"/>
  <c r="I39" i="12"/>
  <c r="I41" i="12" s="1"/>
  <c r="H41" i="12"/>
  <c r="B54" i="12" l="1"/>
  <c r="K56" i="12" s="1"/>
  <c r="K59" i="12"/>
  <c r="B56" i="12" l="1"/>
  <c r="B58" i="12" s="1"/>
  <c r="B59" i="12" s="1"/>
  <c r="E45" i="9" l="1"/>
  <c r="E27" i="9"/>
  <c r="E25" i="9"/>
  <c r="E19" i="9"/>
  <c r="E17" i="9"/>
  <c r="E13" i="9"/>
  <c r="E10" i="9"/>
  <c r="E55" i="8"/>
  <c r="E57" i="8" s="1"/>
  <c r="E25" i="8"/>
  <c r="E19" i="8"/>
  <c r="E17" i="8"/>
  <c r="E45" i="8"/>
  <c r="E41" i="8"/>
  <c r="E13" i="8"/>
  <c r="E10" i="8"/>
  <c r="E11" i="8" s="1"/>
  <c r="E14" i="8" s="1"/>
  <c r="E46" i="9"/>
  <c r="E44" i="9"/>
  <c r="F23" i="9"/>
  <c r="E12" i="9"/>
  <c r="C46" i="9"/>
  <c r="C34" i="9"/>
  <c r="I62" i="3"/>
  <c r="E59" i="3"/>
  <c r="F59" i="3"/>
  <c r="G59" i="3"/>
  <c r="H59" i="3"/>
  <c r="D59" i="3"/>
  <c r="C14" i="9"/>
  <c r="C11" i="9"/>
  <c r="C11" i="8"/>
  <c r="E49" i="9"/>
  <c r="C48" i="9"/>
  <c r="C51" i="9" s="1"/>
  <c r="E39" i="9"/>
  <c r="C38" i="9"/>
  <c r="C43" i="9" s="1"/>
  <c r="E36" i="9"/>
  <c r="E35" i="9"/>
  <c r="E33" i="9"/>
  <c r="E34" i="9" s="1"/>
  <c r="C28" i="9"/>
  <c r="C21" i="9"/>
  <c r="C23" i="9" s="1"/>
  <c r="E18" i="9"/>
  <c r="E16" i="9"/>
  <c r="E21" i="9" s="1"/>
  <c r="E23" i="9" s="1"/>
  <c r="E9" i="9"/>
  <c r="E8" i="9"/>
  <c r="E6" i="9"/>
  <c r="E11" i="9" s="1"/>
  <c r="E14" i="9" s="1"/>
  <c r="E21" i="8"/>
  <c r="E23" i="8" s="1"/>
  <c r="E18" i="8"/>
  <c r="E16" i="8"/>
  <c r="E9" i="8"/>
  <c r="E8" i="8"/>
  <c r="E6" i="8"/>
  <c r="E49" i="8"/>
  <c r="E39" i="8"/>
  <c r="E38" i="8"/>
  <c r="E36" i="8"/>
  <c r="E35" i="8"/>
  <c r="E34" i="8"/>
  <c r="E33" i="8"/>
  <c r="C51" i="8"/>
  <c r="C48" i="8"/>
  <c r="C38" i="8"/>
  <c r="C43" i="8" s="1"/>
  <c r="D11" i="2"/>
  <c r="I8" i="2"/>
  <c r="C28" i="8"/>
  <c r="I76" i="2"/>
  <c r="C19" i="8"/>
  <c r="C21" i="8" s="1"/>
  <c r="C23" i="8" s="1"/>
  <c r="E78" i="2"/>
  <c r="F78" i="2"/>
  <c r="G78" i="2"/>
  <c r="H78" i="2"/>
  <c r="D78" i="2"/>
  <c r="I65" i="2"/>
  <c r="I71" i="2"/>
  <c r="I55" i="2"/>
  <c r="E58" i="8" l="1"/>
  <c r="E59" i="8" s="1"/>
  <c r="E38" i="9"/>
  <c r="E43" i="9" s="1"/>
  <c r="E58" i="9"/>
  <c r="C29" i="9"/>
  <c r="C29" i="8"/>
  <c r="C13" i="7"/>
  <c r="C12" i="7"/>
  <c r="B9" i="7"/>
  <c r="E48" i="9" l="1"/>
  <c r="E51" i="9" s="1"/>
  <c r="E26" i="9" s="1"/>
  <c r="E28" i="9" s="1"/>
  <c r="E29" i="9" s="1"/>
  <c r="E30" i="9" s="1"/>
  <c r="E55" i="9"/>
  <c r="E57" i="9" s="1"/>
  <c r="E59" i="9" s="1"/>
  <c r="E60" i="9" s="1"/>
  <c r="B199" i="3"/>
  <c r="C199" i="3" s="1"/>
  <c r="B190" i="3"/>
  <c r="D215" i="3" s="1"/>
  <c r="B209" i="2"/>
  <c r="B219" i="2" s="1"/>
  <c r="C219" i="2" s="1"/>
  <c r="B210" i="2"/>
  <c r="F229" i="2" s="1"/>
  <c r="C171" i="3"/>
  <c r="C172" i="3"/>
  <c r="B192" i="2"/>
  <c r="C192" i="2" s="1"/>
  <c r="B191" i="2"/>
  <c r="C191" i="2" s="1"/>
  <c r="B190" i="2"/>
  <c r="B189" i="2"/>
  <c r="B188" i="2"/>
  <c r="B187" i="2"/>
  <c r="B167" i="2"/>
  <c r="C49" i="5"/>
  <c r="C45" i="5"/>
  <c r="C41" i="5"/>
  <c r="C37" i="5"/>
  <c r="C33" i="5"/>
  <c r="C29" i="5"/>
  <c r="C24" i="5"/>
  <c r="C20" i="5"/>
  <c r="B143" i="2"/>
  <c r="B151" i="2"/>
  <c r="B146" i="2"/>
  <c r="B148" i="2" s="1"/>
  <c r="B130" i="3"/>
  <c r="B122" i="3"/>
  <c r="B125" i="3"/>
  <c r="B127" i="3" s="1"/>
  <c r="H111" i="2"/>
  <c r="H90" i="3"/>
  <c r="B229" i="2" l="1"/>
  <c r="D219" i="2"/>
  <c r="F209" i="3"/>
  <c r="D199" i="3"/>
  <c r="B209" i="3"/>
  <c r="D235" i="2"/>
  <c r="B147" i="2"/>
  <c r="B122" i="2" s="1"/>
  <c r="B193" i="2" s="1"/>
  <c r="C193" i="2" s="1"/>
  <c r="B126" i="3"/>
  <c r="B101" i="3" s="1"/>
  <c r="C109" i="2"/>
  <c r="C88" i="3"/>
  <c r="D88" i="3" s="1"/>
  <c r="E88" i="3" s="1"/>
  <c r="F88" i="3" s="1"/>
  <c r="G88" i="3" s="1"/>
  <c r="H88" i="3" s="1"/>
  <c r="H91" i="3" s="1"/>
  <c r="G43" i="3"/>
  <c r="H43" i="3"/>
  <c r="H47" i="3" s="1"/>
  <c r="H53" i="3"/>
  <c r="H58" i="3"/>
  <c r="E65" i="3"/>
  <c r="F65" i="3"/>
  <c r="G65" i="3"/>
  <c r="H65" i="3"/>
  <c r="E58" i="3"/>
  <c r="F58" i="3"/>
  <c r="G58" i="3"/>
  <c r="E53" i="3"/>
  <c r="F53" i="3"/>
  <c r="G53" i="3"/>
  <c r="D43" i="3"/>
  <c r="D47" i="3" s="1"/>
  <c r="E43" i="3"/>
  <c r="E47" i="3" s="1"/>
  <c r="F43" i="3"/>
  <c r="F47" i="3" s="1"/>
  <c r="D53" i="3"/>
  <c r="D65" i="3"/>
  <c r="D58" i="3"/>
  <c r="E84" i="2"/>
  <c r="E86" i="2" s="1"/>
  <c r="D84" i="2"/>
  <c r="D86" i="2" s="1"/>
  <c r="D72" i="2"/>
  <c r="E72" i="2"/>
  <c r="D55" i="2"/>
  <c r="D61" i="2" s="1"/>
  <c r="E55" i="2"/>
  <c r="E61" i="2" s="1"/>
  <c r="H84" i="2"/>
  <c r="H86" i="2" s="1"/>
  <c r="H72" i="2"/>
  <c r="H55" i="2"/>
  <c r="H61" i="2" s="1"/>
  <c r="G84" i="2"/>
  <c r="G86" i="2" s="1"/>
  <c r="F84" i="2"/>
  <c r="F86" i="2" s="1"/>
  <c r="G72" i="2"/>
  <c r="F72" i="2"/>
  <c r="F87" i="2" s="1"/>
  <c r="F55" i="2"/>
  <c r="F61" i="2" s="1"/>
  <c r="G55" i="2"/>
  <c r="G61" i="2" s="1"/>
  <c r="G23" i="3"/>
  <c r="H23" i="3"/>
  <c r="H24" i="3" s="1"/>
  <c r="G12" i="3"/>
  <c r="H12" i="3"/>
  <c r="G7" i="3"/>
  <c r="H7" i="3"/>
  <c r="E23" i="3"/>
  <c r="F23" i="3"/>
  <c r="D23" i="3"/>
  <c r="E12" i="3"/>
  <c r="F12" i="3"/>
  <c r="D12" i="3"/>
  <c r="E7" i="3"/>
  <c r="F7" i="3"/>
  <c r="D7" i="3"/>
  <c r="D30" i="2"/>
  <c r="D32" i="2" s="1"/>
  <c r="D16" i="2"/>
  <c r="D7" i="2"/>
  <c r="D91" i="2" s="1"/>
  <c r="D97" i="2" s="1"/>
  <c r="E30" i="2"/>
  <c r="E32" i="2" s="1"/>
  <c r="F30" i="2"/>
  <c r="F32" i="2" s="1"/>
  <c r="G30" i="2"/>
  <c r="G32" i="2" s="1"/>
  <c r="E16" i="2"/>
  <c r="F16" i="2"/>
  <c r="G16" i="2"/>
  <c r="E7" i="2"/>
  <c r="E11" i="2" s="1"/>
  <c r="E91" i="2" s="1"/>
  <c r="F7" i="2"/>
  <c r="F11" i="2" s="1"/>
  <c r="F91" i="2" s="1"/>
  <c r="G7" i="2"/>
  <c r="G11" i="2" s="1"/>
  <c r="G91" i="2" s="1"/>
  <c r="H30" i="2"/>
  <c r="H32" i="2" s="1"/>
  <c r="H16" i="2"/>
  <c r="H7" i="2"/>
  <c r="H11" i="2" s="1"/>
  <c r="H91" i="2" s="1"/>
  <c r="B230" i="2" l="1"/>
  <c r="E219" i="2"/>
  <c r="H112" i="3"/>
  <c r="B149" i="3"/>
  <c r="F91" i="3"/>
  <c r="G91" i="3"/>
  <c r="E91" i="3"/>
  <c r="D91" i="3"/>
  <c r="B210" i="3"/>
  <c r="E199" i="3"/>
  <c r="B168" i="2"/>
  <c r="H133" i="2"/>
  <c r="E87" i="2"/>
  <c r="D87" i="2"/>
  <c r="E92" i="2"/>
  <c r="H97" i="2"/>
  <c r="G97" i="2"/>
  <c r="F97" i="2"/>
  <c r="E97" i="2"/>
  <c r="H92" i="2"/>
  <c r="D92" i="2"/>
  <c r="G92" i="2"/>
  <c r="F92" i="2"/>
  <c r="D89" i="3"/>
  <c r="E13" i="3"/>
  <c r="E70" i="3" s="1"/>
  <c r="E66" i="3"/>
  <c r="F13" i="3"/>
  <c r="F70" i="3" s="1"/>
  <c r="G66" i="3"/>
  <c r="H66" i="3"/>
  <c r="H13" i="3"/>
  <c r="H17" i="3" s="1"/>
  <c r="D71" i="3"/>
  <c r="G13" i="3"/>
  <c r="G17" i="3" s="1"/>
  <c r="G19" i="3" s="1"/>
  <c r="G24" i="3" s="1"/>
  <c r="F71" i="3"/>
  <c r="F66" i="3"/>
  <c r="D13" i="3"/>
  <c r="D17" i="3" s="1"/>
  <c r="D19" i="3" s="1"/>
  <c r="D24" i="3" s="1"/>
  <c r="G71" i="3"/>
  <c r="E71" i="3"/>
  <c r="H71" i="3"/>
  <c r="G47" i="3"/>
  <c r="D66" i="3"/>
  <c r="H87" i="2"/>
  <c r="G87" i="2"/>
  <c r="H19" i="2"/>
  <c r="H21" i="2" s="1"/>
  <c r="H23" i="2" s="1"/>
  <c r="H35" i="2" s="1"/>
  <c r="H33" i="2" s="1"/>
  <c r="G19" i="2"/>
  <c r="G21" i="2" s="1"/>
  <c r="G23" i="2" s="1"/>
  <c r="G35" i="2" s="1"/>
  <c r="G33" i="2" s="1"/>
  <c r="D19" i="2"/>
  <c r="D21" i="2" s="1"/>
  <c r="D23" i="2" s="1"/>
  <c r="D35" i="2" s="1"/>
  <c r="D33" i="2" s="1"/>
  <c r="F19" i="2"/>
  <c r="F21" i="2" s="1"/>
  <c r="F23" i="2" s="1"/>
  <c r="F35" i="2" s="1"/>
  <c r="F33" i="2" s="1"/>
  <c r="E19" i="2"/>
  <c r="E21" i="2" s="1"/>
  <c r="E23" i="2" s="1"/>
  <c r="E35" i="2" s="1"/>
  <c r="E33" i="2" s="1"/>
  <c r="B231" i="2" l="1"/>
  <c r="F228" i="2"/>
  <c r="F231" i="2" s="1"/>
  <c r="D234" i="2"/>
  <c r="B233" i="2" s="1"/>
  <c r="F208" i="3"/>
  <c r="F211" i="3" s="1"/>
  <c r="D214" i="3" s="1"/>
  <c r="B213" i="3" s="1"/>
  <c r="B211" i="3"/>
  <c r="G93" i="2"/>
  <c r="G96" i="2" s="1"/>
  <c r="F111" i="2"/>
  <c r="F93" i="2"/>
  <c r="F96" i="2" s="1"/>
  <c r="E111" i="2"/>
  <c r="H93" i="2"/>
  <c r="H96" i="2" s="1"/>
  <c r="G111" i="2"/>
  <c r="E93" i="2"/>
  <c r="D111" i="2"/>
  <c r="D93" i="2"/>
  <c r="C111" i="2"/>
  <c r="F72" i="3"/>
  <c r="F77" i="3" s="1"/>
  <c r="E90" i="3"/>
  <c r="G72" i="3"/>
  <c r="F90" i="3"/>
  <c r="D72" i="3"/>
  <c r="C90" i="3"/>
  <c r="H72" i="3"/>
  <c r="H77" i="3" s="1"/>
  <c r="G90" i="3"/>
  <c r="F17" i="3"/>
  <c r="F19" i="3" s="1"/>
  <c r="F24" i="3" s="1"/>
  <c r="E17" i="3"/>
  <c r="E19" i="3" s="1"/>
  <c r="E24" i="3" s="1"/>
  <c r="E92" i="3"/>
  <c r="E89" i="3"/>
  <c r="E72" i="3"/>
  <c r="E77" i="3" s="1"/>
  <c r="D90" i="3"/>
  <c r="D95" i="3"/>
  <c r="B177" i="3" s="1"/>
  <c r="D70" i="3"/>
  <c r="H70" i="3"/>
  <c r="H74" i="3" s="1"/>
  <c r="G70" i="3"/>
  <c r="F76" i="3"/>
  <c r="E76" i="3"/>
  <c r="B215" i="3" l="1"/>
  <c r="B235" i="2"/>
  <c r="H75" i="3"/>
  <c r="F75" i="3"/>
  <c r="F73" i="3"/>
  <c r="F74" i="3" s="1"/>
  <c r="H98" i="2"/>
  <c r="G94" i="2"/>
  <c r="G95" i="2" s="1"/>
  <c r="H94" i="2"/>
  <c r="H95" i="2" s="1"/>
  <c r="F98" i="2"/>
  <c r="F94" i="2"/>
  <c r="F95" i="2" s="1"/>
  <c r="G98" i="2"/>
  <c r="E96" i="2"/>
  <c r="E98" i="2"/>
  <c r="E94" i="2"/>
  <c r="E95" i="2" s="1"/>
  <c r="D98" i="2"/>
  <c r="D94" i="2"/>
  <c r="C112" i="2"/>
  <c r="C116" i="2" s="1"/>
  <c r="D96" i="2"/>
  <c r="E95" i="3"/>
  <c r="E93" i="3"/>
  <c r="D103" i="3" s="1"/>
  <c r="D151" i="3" s="1"/>
  <c r="F92" i="3"/>
  <c r="F89" i="3"/>
  <c r="D73" i="3"/>
  <c r="G73" i="3"/>
  <c r="G74" i="3" s="1"/>
  <c r="E73" i="3"/>
  <c r="E74" i="3" s="1"/>
  <c r="D77" i="3"/>
  <c r="C91" i="3"/>
  <c r="D92" i="3" s="1"/>
  <c r="D93" i="3" s="1"/>
  <c r="C103" i="3" s="1"/>
  <c r="C151" i="3" s="1"/>
  <c r="D75" i="3"/>
  <c r="C95" i="3" s="1"/>
  <c r="C89" i="3"/>
  <c r="G77" i="3"/>
  <c r="E75" i="3"/>
  <c r="H76" i="3"/>
  <c r="D76" i="3"/>
  <c r="G76" i="3"/>
  <c r="G75" i="3"/>
  <c r="C107" i="3" l="1"/>
  <c r="B110" i="3" s="1"/>
  <c r="D107" i="3"/>
  <c r="B111" i="3" s="1"/>
  <c r="C113" i="2"/>
  <c r="D95" i="2"/>
  <c r="C114" i="2" s="1"/>
  <c r="D74" i="3"/>
  <c r="C93" i="3" s="1"/>
  <c r="C92" i="3"/>
  <c r="G92" i="3"/>
  <c r="G89" i="3"/>
  <c r="F95" i="3"/>
  <c r="F93" i="3"/>
  <c r="E103" i="3" s="1"/>
  <c r="E151" i="3" s="1"/>
  <c r="E107" i="3" l="1"/>
  <c r="B112" i="3" s="1"/>
  <c r="G95" i="3"/>
  <c r="G93" i="3"/>
  <c r="F103" i="3" s="1"/>
  <c r="H92" i="3"/>
  <c r="H89" i="3"/>
  <c r="F107" i="3" l="1"/>
  <c r="B113" i="3" s="1"/>
  <c r="F151" i="3"/>
  <c r="H95" i="3"/>
  <c r="H93" i="3"/>
  <c r="G103" i="3" s="1"/>
  <c r="G151" i="3" s="1"/>
  <c r="B155" i="3" s="1"/>
  <c r="H111" i="3" l="1"/>
  <c r="G107" i="3"/>
  <c r="B114" i="3" s="1"/>
  <c r="B158" i="3" s="1"/>
  <c r="H114" i="3" l="1"/>
  <c r="G115" i="3" s="1"/>
  <c r="B115" i="3" s="1"/>
  <c r="D109" i="2"/>
  <c r="D110" i="2" s="1"/>
  <c r="B117" i="3" l="1"/>
  <c r="B175" i="3" s="1"/>
  <c r="B157" i="3"/>
  <c r="B159" i="3" s="1"/>
  <c r="F153" i="3" s="1"/>
  <c r="F155" i="3" s="1"/>
  <c r="F158" i="3" s="1"/>
  <c r="F160" i="3" s="1"/>
  <c r="B176" i="3" s="1"/>
  <c r="E109" i="2"/>
  <c r="E112" i="2" s="1"/>
  <c r="D112" i="2"/>
  <c r="D113" i="2" s="1"/>
  <c r="D114" i="2" s="1"/>
  <c r="E110" i="2" l="1"/>
  <c r="E116" i="2" s="1"/>
  <c r="F109" i="2"/>
  <c r="G109" i="2" s="1"/>
  <c r="H109" i="2" s="1"/>
  <c r="D116" i="2"/>
  <c r="B197" i="2" s="1"/>
  <c r="C124" i="2"/>
  <c r="C128" i="2" s="1"/>
  <c r="B131" i="2" s="1"/>
  <c r="C170" i="2"/>
  <c r="E113" i="2"/>
  <c r="E114" i="2" l="1"/>
  <c r="D124" i="2" s="1"/>
  <c r="D128" i="2" s="1"/>
  <c r="B132" i="2" s="1"/>
  <c r="F112" i="2"/>
  <c r="F113" i="2" s="1"/>
  <c r="F110" i="2"/>
  <c r="G110" i="2"/>
  <c r="G112" i="2"/>
  <c r="H110" i="2"/>
  <c r="H112" i="2"/>
  <c r="D170" i="2" l="1"/>
  <c r="F114" i="2"/>
  <c r="E170" i="2" s="1"/>
  <c r="G116" i="2"/>
  <c r="H113" i="2"/>
  <c r="H114" i="2" s="1"/>
  <c r="G113" i="2"/>
  <c r="G114" i="2" s="1"/>
  <c r="F170" i="2" s="1"/>
  <c r="F116" i="2"/>
  <c r="E124" i="2"/>
  <c r="E128" i="2" s="1"/>
  <c r="B133" i="2" s="1"/>
  <c r="H116" i="2"/>
  <c r="F124" i="2" l="1"/>
  <c r="F128" i="2" s="1"/>
  <c r="B134" i="2" s="1"/>
  <c r="G124" i="2"/>
  <c r="B175" i="2" s="1"/>
  <c r="G170" i="2"/>
  <c r="G128" i="2" l="1"/>
  <c r="B135" i="2" s="1"/>
  <c r="B178" i="2" s="1"/>
  <c r="H132" i="2"/>
  <c r="H135" i="2" s="1"/>
  <c r="G136" i="2" s="1"/>
  <c r="B136" i="2" s="1"/>
  <c r="B138" i="2" l="1"/>
  <c r="B195" i="2" s="1"/>
  <c r="B177" i="2"/>
  <c r="B180" i="2" s="1"/>
  <c r="F173" i="2" l="1"/>
  <c r="F178" i="2"/>
  <c r="F180" i="2" s="1"/>
  <c r="B196" i="2" s="1"/>
  <c r="F175" i="2"/>
  <c r="E43" i="8"/>
  <c r="E44" i="8" s="1"/>
  <c r="E46" i="8" s="1"/>
  <c r="E48" i="8" s="1"/>
  <c r="E51" i="8" s="1"/>
  <c r="E26" i="8" s="1"/>
  <c r="E28" i="8" s="1"/>
  <c r="E29" i="8" s="1"/>
  <c r="E30" i="8" s="1"/>
</calcChain>
</file>

<file path=xl/sharedStrings.xml><?xml version="1.0" encoding="utf-8"?>
<sst xmlns="http://schemas.openxmlformats.org/spreadsheetml/2006/main" count="1286" uniqueCount="681">
  <si>
    <t>Total Equity</t>
  </si>
  <si>
    <t>Total Assets</t>
  </si>
  <si>
    <t>Sales</t>
  </si>
  <si>
    <t>Inventories</t>
  </si>
  <si>
    <t>Effective Income Tax Rate</t>
  </si>
  <si>
    <t>FY is Fiscal Year Ended January 31st</t>
  </si>
  <si>
    <t>FY Ending Jan 2021</t>
  </si>
  <si>
    <t>Net sales</t>
  </si>
  <si>
    <t>Membership and other income</t>
  </si>
  <si>
    <t>Total revenues</t>
  </si>
  <si>
    <t>Cost of sales</t>
  </si>
  <si>
    <t>Operating, selling, general and administrative expenses</t>
  </si>
  <si>
    <t>Operating income</t>
  </si>
  <si>
    <t>Interest - Debt</t>
  </si>
  <si>
    <t>Interest - Finance, capital lease and financing obligations</t>
  </si>
  <si>
    <t>Interest income</t>
  </si>
  <si>
    <t>Interest, net</t>
  </si>
  <si>
    <t>Loss on extinguishment of debt</t>
  </si>
  <si>
    <t>Other (gains) and losses</t>
  </si>
  <si>
    <t>Provision for income taxes</t>
  </si>
  <si>
    <t>Consolidated net income</t>
  </si>
  <si>
    <t>Consolidated net income attributable to noncontrolling interest</t>
  </si>
  <si>
    <t>Consolidated net income attributable to Walmart</t>
  </si>
  <si>
    <t>Basic net income per common share attributable to Walmart</t>
  </si>
  <si>
    <t>Diluted net income per common share attributable to Walmart</t>
  </si>
  <si>
    <t>Dividends declared per common share</t>
  </si>
  <si>
    <t>Revenues</t>
  </si>
  <si>
    <t>Costs of Goods</t>
  </si>
  <si>
    <t>Interest</t>
  </si>
  <si>
    <t>Net Income Per Common Share</t>
  </si>
  <si>
    <t>Income before taxes</t>
  </si>
  <si>
    <t xml:space="preserve">Weighted-average common shares outstanding </t>
  </si>
  <si>
    <t>Basic</t>
  </si>
  <si>
    <t>Diluted</t>
  </si>
  <si>
    <t>Other Information</t>
  </si>
  <si>
    <t>Other comprehensive income (loss) net of income taxes</t>
  </si>
  <si>
    <t>Currency Translation &amp; Other</t>
  </si>
  <si>
    <t>Net Investment Hedges</t>
  </si>
  <si>
    <t>Cash flow Hedges</t>
  </si>
  <si>
    <t>Minimum Pension Liability</t>
  </si>
  <si>
    <t>Unrealized gain on available for sale securities</t>
  </si>
  <si>
    <t>Other comprehesive (income) loss attributable to non controlling interest</t>
  </si>
  <si>
    <t>Other comprehesive (loss) attributable to Walmart</t>
  </si>
  <si>
    <t>Comprehensive Income Net of Income Taxes</t>
  </si>
  <si>
    <t>Comprehensive Income attributable to Walmart</t>
  </si>
  <si>
    <t>Comprehensive Income attributable to noncontrolling interest</t>
  </si>
  <si>
    <t>Other Revenue</t>
  </si>
  <si>
    <t>Total Revenue</t>
  </si>
  <si>
    <t>Costs</t>
  </si>
  <si>
    <t>Cost of Sales</t>
  </si>
  <si>
    <t>Depreciation and Amortization (exclusive of depreciation included in cost of sales</t>
  </si>
  <si>
    <t>Total Costs</t>
  </si>
  <si>
    <t>Operating Income</t>
  </si>
  <si>
    <t>Net Interest Expense</t>
  </si>
  <si>
    <t>Net Other Income</t>
  </si>
  <si>
    <t>Earnings before Income Taxes</t>
  </si>
  <si>
    <t>Provision for Income taxes</t>
  </si>
  <si>
    <t>Net Earnings</t>
  </si>
  <si>
    <t>Interest &amp; Taxes</t>
  </si>
  <si>
    <t>Other Comprehensive (loss) of income net of tax</t>
  </si>
  <si>
    <t>Pension Benefits Liabilities</t>
  </si>
  <si>
    <t>Currency Translation adjustment and cash flow hedges</t>
  </si>
  <si>
    <t>Other Comprehensive (loss) of income</t>
  </si>
  <si>
    <t>Comprehensive Income</t>
  </si>
  <si>
    <t>Basic Earnings Per Share</t>
  </si>
  <si>
    <t>Diluted Earnings Per Share</t>
  </si>
  <si>
    <t>Weighted Average Common Shares Outstanding</t>
  </si>
  <si>
    <t>Antidilutive Shares</t>
  </si>
  <si>
    <t>Selling, general and administrative expenses</t>
  </si>
  <si>
    <t>Cash and Cash Equivalents</t>
  </si>
  <si>
    <t>Receivables, net</t>
  </si>
  <si>
    <t>Prepaid Expenses and Other</t>
  </si>
  <si>
    <t>Total Current Assets</t>
  </si>
  <si>
    <t>P&amp;E, net</t>
  </si>
  <si>
    <t>Operating lease right of use assets</t>
  </si>
  <si>
    <t>Finanice lease right-of-use assets, net</t>
  </si>
  <si>
    <t>Goodwill</t>
  </si>
  <si>
    <t>Other Long Term Assets</t>
  </si>
  <si>
    <t>Assets</t>
  </si>
  <si>
    <t>Liabilities</t>
  </si>
  <si>
    <t>Short Term Borrowings</t>
  </si>
  <si>
    <t>Accounts Payable</t>
  </si>
  <si>
    <t>Accrued Liabilities</t>
  </si>
  <si>
    <t>Long Term Debt due within one year</t>
  </si>
  <si>
    <t>Operating Lease Obligations due within 1 year</t>
  </si>
  <si>
    <t>Finance Lease Obligations due within 1 year</t>
  </si>
  <si>
    <t>Total Current Liabilities</t>
  </si>
  <si>
    <t>Long Term Debt</t>
  </si>
  <si>
    <t>Long term operating lease obligations</t>
  </si>
  <si>
    <t>Deferred Income Taxes and Other</t>
  </si>
  <si>
    <t>Liabilities &amp; Equity</t>
  </si>
  <si>
    <t>Equity</t>
  </si>
  <si>
    <t>Common Stock</t>
  </si>
  <si>
    <t>Capital in Excess of Par Value</t>
  </si>
  <si>
    <t>Retained Earnings</t>
  </si>
  <si>
    <t>Accumulated other comprehensive loss</t>
  </si>
  <si>
    <t>Total Walmart Shareholders' Equity</t>
  </si>
  <si>
    <t xml:space="preserve">Noncontrolling Interest </t>
  </si>
  <si>
    <t>Total Liabilities and Equity</t>
  </si>
  <si>
    <t>Accrued Income Taxes</t>
  </si>
  <si>
    <t>Long Term Finance Lease Obligations</t>
  </si>
  <si>
    <t>Redeeming Non Controlling Interest</t>
  </si>
  <si>
    <t>Inventory</t>
  </si>
  <si>
    <t>Other current assets</t>
  </si>
  <si>
    <t>P&amp;E</t>
  </si>
  <si>
    <t>Operating Lease Assets</t>
  </si>
  <si>
    <t>Other noncurrent Assets</t>
  </si>
  <si>
    <t>Liabilities and Shareholders' Investment</t>
  </si>
  <si>
    <t>Accured and other current liabilities</t>
  </si>
  <si>
    <t>Current portion of long term debt and other borrowings</t>
  </si>
  <si>
    <t>Long Term Debt and Other Borrowings</t>
  </si>
  <si>
    <t>Non Current Operating lease liabilities</t>
  </si>
  <si>
    <t>Deferred income taxes</t>
  </si>
  <si>
    <t>Other Non Current Liabilities</t>
  </si>
  <si>
    <t>Total Non Current Liabilities</t>
  </si>
  <si>
    <t>Shareholders Investment</t>
  </si>
  <si>
    <t>Additional Paid-In Capital</t>
  </si>
  <si>
    <t>Accumulated other Comprehensive Loss</t>
  </si>
  <si>
    <t>Total Liabilities and Shareholders' Investment</t>
  </si>
  <si>
    <t>Total Shareholders' Investment</t>
  </si>
  <si>
    <t>Investment in Operating Capital</t>
  </si>
  <si>
    <t>Does not break down short term investments</t>
  </si>
  <si>
    <t>This would be considered notes payable</t>
  </si>
  <si>
    <t>No Accruals category</t>
  </si>
  <si>
    <t>No bonds</t>
  </si>
  <si>
    <t>Table 7-4 did not have pension benefits or other comprehensive loss of income categories</t>
  </si>
  <si>
    <t xml:space="preserve">Tax rate was also provided </t>
  </si>
  <si>
    <t>Net Sales</t>
  </si>
  <si>
    <t>Growth in FCF</t>
  </si>
  <si>
    <t>Growth Rate</t>
  </si>
  <si>
    <t>2023 - Current</t>
  </si>
  <si>
    <t>FORECAST</t>
  </si>
  <si>
    <t>SALES=(1+g)prev.sales</t>
  </si>
  <si>
    <t>NOPAT =(SALES)(OP Ratio)</t>
  </si>
  <si>
    <t>FCF=NOPAT - Investment in OP Cap</t>
  </si>
  <si>
    <t>OpCap = (SALES)(CR Ratio)</t>
  </si>
  <si>
    <r>
      <t xml:space="preserve">(WMT) Walmart </t>
    </r>
    <r>
      <rPr>
        <b/>
        <sz val="16"/>
        <color rgb="FFFF0000"/>
        <rFont val="Aptos Narrow"/>
        <family val="2"/>
        <scheme val="minor"/>
      </rPr>
      <t>Income Statement</t>
    </r>
    <r>
      <rPr>
        <b/>
        <sz val="16"/>
        <color theme="1"/>
        <rFont val="Aptos Narrow"/>
        <family val="2"/>
        <scheme val="minor"/>
      </rPr>
      <t xml:space="preserve"> </t>
    </r>
    <r>
      <rPr>
        <b/>
        <i/>
        <sz val="16"/>
        <color theme="1"/>
        <rFont val="Aptos Narrow"/>
        <family val="2"/>
        <scheme val="minor"/>
      </rPr>
      <t>In Millions</t>
    </r>
    <r>
      <rPr>
        <b/>
        <sz val="16"/>
        <color theme="1"/>
        <rFont val="Aptos Narrow"/>
        <family val="2"/>
        <scheme val="minor"/>
      </rPr>
      <t xml:space="preserve"> - Last 5 Years</t>
    </r>
  </si>
  <si>
    <r>
      <t xml:space="preserve">(WMT) Walmart </t>
    </r>
    <r>
      <rPr>
        <b/>
        <sz val="16"/>
        <color rgb="FFFF0000"/>
        <rFont val="Aptos Narrow"/>
        <family val="2"/>
        <scheme val="minor"/>
      </rPr>
      <t>Balance Sheet</t>
    </r>
    <r>
      <rPr>
        <b/>
        <sz val="16"/>
        <color theme="1"/>
        <rFont val="Aptos Narrow"/>
        <family val="2"/>
        <scheme val="minor"/>
      </rPr>
      <t xml:space="preserve"> In Millions - Last 5 Years</t>
    </r>
  </si>
  <si>
    <r>
      <t xml:space="preserve">(TGT) Target </t>
    </r>
    <r>
      <rPr>
        <b/>
        <sz val="16"/>
        <color rgb="FFFF0000"/>
        <rFont val="Aptos Narrow"/>
        <family val="2"/>
        <scheme val="minor"/>
      </rPr>
      <t>Income Statement</t>
    </r>
    <r>
      <rPr>
        <b/>
        <sz val="16"/>
        <color theme="1"/>
        <rFont val="Aptos Narrow"/>
        <family val="2"/>
        <scheme val="minor"/>
      </rPr>
      <t xml:space="preserve"> </t>
    </r>
    <r>
      <rPr>
        <b/>
        <i/>
        <sz val="16"/>
        <color theme="1"/>
        <rFont val="Aptos Narrow"/>
        <family val="2"/>
        <scheme val="minor"/>
      </rPr>
      <t>In Millions</t>
    </r>
    <r>
      <rPr>
        <b/>
        <sz val="16"/>
        <color theme="1"/>
        <rFont val="Aptos Narrow"/>
        <family val="2"/>
        <scheme val="minor"/>
      </rPr>
      <t xml:space="preserve"> - Last 5 Years</t>
    </r>
  </si>
  <si>
    <r>
      <t xml:space="preserve">(TGT) Target </t>
    </r>
    <r>
      <rPr>
        <b/>
        <sz val="16"/>
        <color rgb="FFFF0000"/>
        <rFont val="Aptos Narrow"/>
        <family val="2"/>
        <scheme val="minor"/>
      </rPr>
      <t>Balance Sheet</t>
    </r>
    <r>
      <rPr>
        <b/>
        <sz val="16"/>
        <color theme="1"/>
        <rFont val="Aptos Narrow"/>
        <family val="2"/>
        <scheme val="minor"/>
      </rPr>
      <t xml:space="preserve"> </t>
    </r>
    <r>
      <rPr>
        <b/>
        <i/>
        <sz val="16"/>
        <color theme="1"/>
        <rFont val="Aptos Narrow"/>
        <family val="2"/>
        <scheme val="minor"/>
      </rPr>
      <t>In Millions</t>
    </r>
    <r>
      <rPr>
        <b/>
        <sz val="16"/>
        <color theme="1"/>
        <rFont val="Aptos Narrow"/>
        <family val="2"/>
        <scheme val="minor"/>
      </rPr>
      <t xml:space="preserve"> - Last 5 Years</t>
    </r>
  </si>
  <si>
    <t xml:space="preserve">Figure 7-5 </t>
  </si>
  <si>
    <t>Figure 7-6</t>
  </si>
  <si>
    <t>Figure 7-5</t>
  </si>
  <si>
    <t>FY Ending Jan 2024</t>
  </si>
  <si>
    <t>FY Ending Jan 2023</t>
  </si>
  <si>
    <t>FY Ending Jan 2022</t>
  </si>
  <si>
    <t>FY Ending Jan 2020</t>
  </si>
  <si>
    <t>Figure 7-4</t>
  </si>
  <si>
    <r>
      <rPr>
        <b/>
        <sz val="14"/>
        <color theme="1"/>
        <rFont val="Aptos Narrow"/>
        <family val="2"/>
        <scheme val="minor"/>
      </rPr>
      <t xml:space="preserve">NOPAT </t>
    </r>
    <r>
      <rPr>
        <sz val="14"/>
        <color theme="1"/>
        <rFont val="Aptos Narrow"/>
        <family val="2"/>
        <scheme val="minor"/>
      </rPr>
      <t xml:space="preserve">
EBIT(1-t)</t>
    </r>
  </si>
  <si>
    <r>
      <rPr>
        <b/>
        <sz val="14"/>
        <color theme="1"/>
        <rFont val="Aptos Narrow"/>
        <family val="2"/>
        <scheme val="minor"/>
      </rPr>
      <t>NOWC</t>
    </r>
    <r>
      <rPr>
        <sz val="14"/>
        <color theme="1"/>
        <rFont val="Aptos Narrow"/>
        <family val="2"/>
        <scheme val="minor"/>
      </rPr>
      <t xml:space="preserve">
 (Operating Current Assets - Operating Current Laibilities)</t>
    </r>
  </si>
  <si>
    <r>
      <rPr>
        <b/>
        <sz val="14"/>
        <color theme="1"/>
        <rFont val="Aptos Narrow"/>
        <family val="2"/>
        <scheme val="minor"/>
      </rPr>
      <t>Total Net Operating Capital</t>
    </r>
    <r>
      <rPr>
        <sz val="14"/>
        <color theme="1"/>
        <rFont val="Aptos Narrow"/>
        <family val="2"/>
        <scheme val="minor"/>
      </rPr>
      <t xml:space="preserve">
(NOWC+Net PP&amp;E)</t>
    </r>
  </si>
  <si>
    <r>
      <rPr>
        <b/>
        <sz val="14"/>
        <color theme="1"/>
        <rFont val="Aptos Narrow"/>
        <family val="2"/>
        <scheme val="minor"/>
      </rPr>
      <t xml:space="preserve">FCF </t>
    </r>
    <r>
      <rPr>
        <sz val="14"/>
        <color theme="1"/>
        <rFont val="Aptos Narrow"/>
        <family val="2"/>
        <scheme val="minor"/>
      </rPr>
      <t xml:space="preserve">
(NOPAT-Investment in Operating Capital</t>
    </r>
  </si>
  <si>
    <r>
      <rPr>
        <b/>
        <sz val="14"/>
        <color theme="1"/>
        <rFont val="Aptos Narrow"/>
        <family val="2"/>
        <scheme val="minor"/>
      </rPr>
      <t xml:space="preserve">ROIC </t>
    </r>
    <r>
      <rPr>
        <sz val="14"/>
        <color theme="1"/>
        <rFont val="Aptos Narrow"/>
        <family val="2"/>
        <scheme val="minor"/>
      </rPr>
      <t xml:space="preserve">
NOPAT/Total Net Operating Capital</t>
    </r>
  </si>
  <si>
    <r>
      <rPr>
        <b/>
        <sz val="14"/>
        <color theme="1"/>
        <rFont val="Aptos Narrow"/>
        <family val="2"/>
        <scheme val="minor"/>
      </rPr>
      <t>Operating Profitability Ratio (OP)</t>
    </r>
    <r>
      <rPr>
        <sz val="14"/>
        <color theme="1"/>
        <rFont val="Aptos Narrow"/>
        <family val="2"/>
        <scheme val="minor"/>
      </rPr>
      <t xml:space="preserve">
NOPAT/Sales</t>
    </r>
  </si>
  <si>
    <r>
      <rPr>
        <b/>
        <sz val="14"/>
        <color theme="1"/>
        <rFont val="Aptos Narrow"/>
        <family val="2"/>
        <scheme val="minor"/>
      </rPr>
      <t>Capital Requirement Ratio (CR)</t>
    </r>
    <r>
      <rPr>
        <sz val="14"/>
        <color theme="1"/>
        <rFont val="Aptos Narrow"/>
        <family val="2"/>
        <scheme val="minor"/>
      </rPr>
      <t xml:space="preserve">
Total Net Operating Capital/Sales</t>
    </r>
  </si>
  <si>
    <r>
      <rPr>
        <b/>
        <sz val="14"/>
        <color theme="1"/>
        <rFont val="Aptos Narrow"/>
        <family val="2"/>
        <scheme val="minor"/>
      </rPr>
      <t>Capital Requirement Ratio</t>
    </r>
    <r>
      <rPr>
        <sz val="14"/>
        <color theme="1"/>
        <rFont val="Aptos Narrow"/>
        <family val="2"/>
        <scheme val="minor"/>
      </rPr>
      <t xml:space="preserve">
Total Net Operating Capital/Sales</t>
    </r>
  </si>
  <si>
    <r>
      <rPr>
        <b/>
        <sz val="14"/>
        <color theme="1"/>
        <rFont val="Aptos Narrow"/>
        <family val="2"/>
        <scheme val="minor"/>
      </rPr>
      <t>Operating Profitability Ratio</t>
    </r>
    <r>
      <rPr>
        <sz val="14"/>
        <color theme="1"/>
        <rFont val="Aptos Narrow"/>
        <family val="2"/>
        <scheme val="minor"/>
      </rPr>
      <t xml:space="preserve">
NOPAT/Sales</t>
    </r>
  </si>
  <si>
    <t>FY Ending Jan 2019</t>
  </si>
  <si>
    <r>
      <rPr>
        <b/>
        <sz val="14"/>
        <color theme="1"/>
        <rFont val="Aptos Narrow"/>
        <family val="2"/>
        <scheme val="minor"/>
      </rPr>
      <t>FCF</t>
    </r>
    <r>
      <rPr>
        <sz val="14"/>
        <color theme="1"/>
        <rFont val="Aptos Narrow"/>
        <family val="2"/>
        <scheme val="minor"/>
      </rPr>
      <t xml:space="preserve"> 
(NOPAT-Investment in Operating Capital</t>
    </r>
  </si>
  <si>
    <t>Panel A: Operating Ratios</t>
  </si>
  <si>
    <t>Panel B: Operating Items</t>
  </si>
  <si>
    <t>Figure 7-7</t>
  </si>
  <si>
    <t>INPUTS:</t>
  </si>
  <si>
    <t xml:space="preserve">Scenario: </t>
  </si>
  <si>
    <t>Status Quo</t>
  </si>
  <si>
    <t>Projections</t>
  </si>
  <si>
    <t>FCF</t>
  </si>
  <si>
    <t>HV = Vop(2028)</t>
  </si>
  <si>
    <t xml:space="preserve">FCF2028(1+gl) </t>
  </si>
  <si>
    <t>(WACC-gl)</t>
  </si>
  <si>
    <t xml:space="preserve"> Year                           </t>
  </si>
  <si>
    <t>(1+WACC)^5</t>
  </si>
  <si>
    <t>PVs of FCFs</t>
  </si>
  <si>
    <t>PV of HV</t>
  </si>
  <si>
    <t xml:space="preserve">Vop = </t>
  </si>
  <si>
    <t>FCF2024</t>
  </si>
  <si>
    <t>(1+WACC)^1</t>
  </si>
  <si>
    <t>FCF2025</t>
  </si>
  <si>
    <t>FCF2026</t>
  </si>
  <si>
    <t>FCF2027</t>
  </si>
  <si>
    <t>FCF2028</t>
  </si>
  <si>
    <t>(1+WACC)^2</t>
  </si>
  <si>
    <t>(1+WACC)^3</t>
  </si>
  <si>
    <t>(1+WACC)^4</t>
  </si>
  <si>
    <t>Recent Financial Statements</t>
  </si>
  <si>
    <t>Key Performance Measures</t>
  </si>
  <si>
    <t>Forcast of Operations</t>
  </si>
  <si>
    <t>Value of Operations</t>
  </si>
  <si>
    <t>gL = (Net sales of the Current year - Net sales of the Previous year) / Net sales of the Previous year</t>
  </si>
  <si>
    <t>gL = 5%</t>
  </si>
  <si>
    <t>For WACC calculation:</t>
  </si>
  <si>
    <t>Tax rate(Tc)</t>
  </si>
  <si>
    <t>Beta(β)</t>
  </si>
  <si>
    <t>Market Value Of Equity(E)</t>
  </si>
  <si>
    <t>Market Value Of Debt(D)</t>
  </si>
  <si>
    <t>Total firm Value (V)</t>
  </si>
  <si>
    <t>Rd</t>
  </si>
  <si>
    <t>Market Risk Premium (Rm - Rf)</t>
  </si>
  <si>
    <t>Risk-Free Rate (Rf)</t>
  </si>
  <si>
    <t>Re</t>
  </si>
  <si>
    <t>WACC ={(E/V)*Re}+{(D/V)**Rd*(1-Tc)}</t>
  </si>
  <si>
    <t>E = Stock Price×Number of Shares Outstanding</t>
  </si>
  <si>
    <t>From the financial data:</t>
  </si>
  <si>
    <r>
      <t>Stock Price (Estimated):</t>
    </r>
    <r>
      <rPr>
        <sz val="12"/>
        <color theme="1"/>
        <rFont val="Aptos Narrow"/>
        <family val="2"/>
        <scheme val="minor"/>
      </rPr>
      <t xml:space="preserve"> </t>
    </r>
    <r>
      <rPr>
        <b/>
        <sz val="12"/>
        <color theme="1"/>
        <rFont val="Aptos Narrow"/>
        <family val="2"/>
        <scheme val="minor"/>
      </rPr>
      <t>$148 per share</t>
    </r>
  </si>
  <si>
    <r>
      <t>Shares Outstanding:</t>
    </r>
    <r>
      <rPr>
        <sz val="12"/>
        <color theme="1"/>
        <rFont val="Aptos Narrow"/>
        <family val="2"/>
        <scheme val="minor"/>
      </rPr>
      <t xml:space="preserve"> </t>
    </r>
    <r>
      <rPr>
        <b/>
        <sz val="12"/>
        <color theme="1"/>
        <rFont val="Aptos Narrow"/>
        <family val="2"/>
        <scheme val="minor"/>
      </rPr>
      <t>461.5 million</t>
    </r>
  </si>
  <si>
    <t>D=Short-Term Debt+Long-Term Debt</t>
  </si>
  <si>
    <t>From the balance sheet:</t>
  </si>
  <si>
    <r>
      <t>Short-Term Debt:</t>
    </r>
    <r>
      <rPr>
        <sz val="12"/>
        <color theme="1"/>
        <rFont val="Aptos Narrow"/>
        <family val="2"/>
        <scheme val="minor"/>
      </rPr>
      <t xml:space="preserve"> </t>
    </r>
    <r>
      <rPr>
        <b/>
        <sz val="12"/>
        <color theme="1"/>
        <rFont val="Aptos Narrow"/>
        <family val="2"/>
        <scheme val="minor"/>
      </rPr>
      <t>$1,116 million</t>
    </r>
  </si>
  <si>
    <r>
      <t>Long-Term Debt:</t>
    </r>
    <r>
      <rPr>
        <sz val="12"/>
        <color theme="1"/>
        <rFont val="Aptos Narrow"/>
        <family val="2"/>
        <scheme val="minor"/>
      </rPr>
      <t xml:space="preserve"> </t>
    </r>
    <r>
      <rPr>
        <b/>
        <sz val="12"/>
        <color theme="1"/>
        <rFont val="Aptos Narrow"/>
        <family val="2"/>
        <scheme val="minor"/>
      </rPr>
      <t>$14,922 million</t>
    </r>
  </si>
  <si>
    <t>D    = 1,116+14,922    = 16,038 million USD    = 16.0 billion USD</t>
  </si>
  <si>
    <t>E    = 148×461.5    = 68,302 million USD    = 68.3 billion USD</t>
  </si>
  <si>
    <t>V = E + D</t>
  </si>
  <si>
    <t>V    = 68,302+16,038    = 84,340 million USD    = 84.3 billion USD</t>
  </si>
  <si>
    <t>Re = Rf+β(Rm−Rf)</t>
  </si>
  <si>
    <t>Assumptions:</t>
  </si>
  <si>
    <r>
      <t>Risk-Free Rate (Rf)</t>
    </r>
    <r>
      <rPr>
        <sz val="12"/>
        <color theme="1"/>
        <rFont val="Aptos Narrow"/>
        <family val="2"/>
        <scheme val="minor"/>
      </rPr>
      <t xml:space="preserve"> = 4% (based on US 10-year treasury yield)</t>
    </r>
  </si>
  <si>
    <r>
      <t>Beta (β) for Target Corporation</t>
    </r>
    <r>
      <rPr>
        <sz val="12"/>
        <color theme="1"/>
        <rFont val="Aptos Narrow"/>
        <family val="2"/>
        <scheme val="minor"/>
      </rPr>
      <t xml:space="preserve"> = </t>
    </r>
    <r>
      <rPr>
        <b/>
        <sz val="12"/>
        <color theme="1"/>
        <rFont val="Aptos Narrow"/>
        <family val="2"/>
        <scheme val="minor"/>
      </rPr>
      <t>0.8</t>
    </r>
    <r>
      <rPr>
        <sz val="12"/>
        <color theme="1"/>
        <rFont val="Aptos Narrow"/>
        <family val="2"/>
        <scheme val="minor"/>
      </rPr>
      <t xml:space="preserve"> (industry estimate)</t>
    </r>
  </si>
  <si>
    <r>
      <t>Market Risk Premium (Rm - Rf)</t>
    </r>
    <r>
      <rPr>
        <sz val="12"/>
        <color theme="1"/>
        <rFont val="Aptos Narrow"/>
        <family val="2"/>
        <scheme val="minor"/>
      </rPr>
      <t xml:space="preserve"> = </t>
    </r>
    <r>
      <rPr>
        <b/>
        <sz val="12"/>
        <color theme="1"/>
        <rFont val="Aptos Narrow"/>
        <family val="2"/>
        <scheme val="minor"/>
      </rPr>
      <t>6%</t>
    </r>
    <r>
      <rPr>
        <sz val="12"/>
        <color theme="1"/>
        <rFont val="Aptos Narrow"/>
        <family val="2"/>
        <scheme val="minor"/>
      </rPr>
      <t xml:space="preserve"> (assumed)</t>
    </r>
  </si>
  <si>
    <t>Re    = 4%+(0.8×6%)    = 4%+4.8%    = 8.8%</t>
  </si>
  <si>
    <t>Rd = Interest Expense​ / Total Debt</t>
  </si>
  <si>
    <t>From the income statement:</t>
  </si>
  <si>
    <r>
      <t>Total Debt (D):</t>
    </r>
    <r>
      <rPr>
        <sz val="12"/>
        <color theme="1"/>
        <rFont val="Aptos Narrow"/>
        <family val="2"/>
        <scheme val="minor"/>
      </rPr>
      <t xml:space="preserve"> </t>
    </r>
    <r>
      <rPr>
        <b/>
        <sz val="12"/>
        <color theme="1"/>
        <rFont val="Aptos Narrow"/>
        <family val="2"/>
        <scheme val="minor"/>
      </rPr>
      <t>$16,038 million</t>
    </r>
  </si>
  <si>
    <r>
      <t>Interest Expense (2023):</t>
    </r>
    <r>
      <rPr>
        <sz val="12"/>
        <color theme="1"/>
        <rFont val="Aptos Narrow"/>
        <family val="2"/>
        <scheme val="minor"/>
      </rPr>
      <t xml:space="preserve"> </t>
    </r>
    <r>
      <rPr>
        <b/>
        <sz val="12"/>
        <color theme="1"/>
        <rFont val="Aptos Narrow"/>
        <family val="2"/>
        <scheme val="minor"/>
      </rPr>
      <t>$502 million</t>
    </r>
  </si>
  <si>
    <t>Rd    = 502/16,038    = 3.13%</t>
  </si>
  <si>
    <t>Tc = Effective Income Tax Rate</t>
  </si>
  <si>
    <t>Rf = Risk-Free Rate</t>
  </si>
  <si>
    <t>Rm-Rf = Market Risk Premium = assumption</t>
  </si>
  <si>
    <t>β = Assumption</t>
  </si>
  <si>
    <t>WACC = 7.59%</t>
  </si>
  <si>
    <r>
      <t>Short-Term Debt:</t>
    </r>
    <r>
      <rPr>
        <sz val="12"/>
        <color theme="1"/>
        <rFont val="Aptos Narrow"/>
        <family val="2"/>
        <scheme val="minor"/>
      </rPr>
      <t xml:space="preserve"> </t>
    </r>
    <r>
      <rPr>
        <b/>
        <sz val="12"/>
        <color theme="1"/>
        <rFont val="Aptos Narrow"/>
        <family val="2"/>
        <scheme val="minor"/>
      </rPr>
      <t>$878 million</t>
    </r>
  </si>
  <si>
    <r>
      <t>Long-Term Debt:</t>
    </r>
    <r>
      <rPr>
        <sz val="12"/>
        <color theme="1"/>
        <rFont val="Aptos Narrow"/>
        <family val="2"/>
        <scheme val="minor"/>
      </rPr>
      <t xml:space="preserve"> </t>
    </r>
    <r>
      <rPr>
        <b/>
        <sz val="12"/>
        <color theme="1"/>
        <rFont val="Aptos Narrow"/>
        <family val="2"/>
        <scheme val="minor"/>
      </rPr>
      <t>$36,132 million</t>
    </r>
  </si>
  <si>
    <r>
      <t>Long-Term Debt due in a year:</t>
    </r>
    <r>
      <rPr>
        <sz val="12"/>
        <color theme="1"/>
        <rFont val="Aptos Narrow"/>
        <family val="2"/>
        <scheme val="minor"/>
      </rPr>
      <t xml:space="preserve"> </t>
    </r>
    <r>
      <rPr>
        <b/>
        <sz val="12"/>
        <color theme="1"/>
        <rFont val="Aptos Narrow"/>
        <family val="2"/>
        <scheme val="minor"/>
      </rPr>
      <t>$3,447 million</t>
    </r>
  </si>
  <si>
    <r>
      <t>Stock Price (Estimated):</t>
    </r>
    <r>
      <rPr>
        <sz val="12"/>
        <color theme="1"/>
        <rFont val="Aptos Narrow"/>
        <family val="2"/>
        <scheme val="minor"/>
      </rPr>
      <t xml:space="preserve"> </t>
    </r>
    <r>
      <rPr>
        <b/>
        <sz val="12"/>
        <color theme="1"/>
        <rFont val="Aptos Narrow"/>
        <family val="2"/>
        <scheme val="minor"/>
      </rPr>
      <t>$87.44 per share</t>
    </r>
  </si>
  <si>
    <r>
      <t>Shares Outstanding:</t>
    </r>
    <r>
      <rPr>
        <sz val="12"/>
        <color theme="1"/>
        <rFont val="Aptos Narrow"/>
        <family val="2"/>
        <scheme val="minor"/>
      </rPr>
      <t xml:space="preserve"> </t>
    </r>
    <r>
      <rPr>
        <b/>
        <sz val="12"/>
        <color theme="1"/>
        <rFont val="Aptos Narrow"/>
        <family val="2"/>
        <scheme val="minor"/>
      </rPr>
      <t>8,108 million</t>
    </r>
  </si>
  <si>
    <t>E    = 87.44×8108    = 708,744 million USD    = 708.74 billion USD</t>
  </si>
  <si>
    <t>D    = 878+3,447+36,132    = 40,457 million USD    = 40.46 billion USD</t>
  </si>
  <si>
    <t>V    = 708,744+40,457    = 749,201 million USD    = 74.9 billion USD</t>
  </si>
  <si>
    <r>
      <t>Beta (β) for Target Corporation</t>
    </r>
    <r>
      <rPr>
        <sz val="12"/>
        <color theme="1"/>
        <rFont val="Aptos Narrow"/>
        <family val="2"/>
        <scheme val="minor"/>
      </rPr>
      <t xml:space="preserve"> = </t>
    </r>
    <r>
      <rPr>
        <b/>
        <sz val="12"/>
        <color theme="1"/>
        <rFont val="Aptos Narrow"/>
        <family val="2"/>
        <scheme val="minor"/>
      </rPr>
      <t>0.54</t>
    </r>
    <r>
      <rPr>
        <sz val="12"/>
        <color theme="1"/>
        <rFont val="Aptos Narrow"/>
        <family val="2"/>
        <scheme val="minor"/>
      </rPr>
      <t xml:space="preserve"> (industry estimate)</t>
    </r>
  </si>
  <si>
    <r>
      <t>Risk-Free Rate (Rf)</t>
    </r>
    <r>
      <rPr>
        <sz val="12"/>
        <color theme="1"/>
        <rFont val="Aptos Narrow"/>
        <family val="2"/>
        <scheme val="minor"/>
      </rPr>
      <t xml:space="preserve"> = </t>
    </r>
    <r>
      <rPr>
        <b/>
        <sz val="12"/>
        <color theme="1"/>
        <rFont val="Aptos Narrow"/>
        <family val="2"/>
        <scheme val="minor"/>
      </rPr>
      <t>2%</t>
    </r>
    <r>
      <rPr>
        <sz val="12"/>
        <color theme="1"/>
        <rFont val="Aptos Narrow"/>
        <family val="2"/>
        <scheme val="minor"/>
      </rPr>
      <t xml:space="preserve"> (based on US 10-year treasury yield)</t>
    </r>
  </si>
  <si>
    <r>
      <t>Market Risk Premium (Rm - Rf)</t>
    </r>
    <r>
      <rPr>
        <sz val="12"/>
        <color theme="1"/>
        <rFont val="Aptos Narrow"/>
        <family val="2"/>
        <scheme val="minor"/>
      </rPr>
      <t xml:space="preserve"> = </t>
    </r>
    <r>
      <rPr>
        <b/>
        <sz val="12"/>
        <color theme="1"/>
        <rFont val="Aptos Narrow"/>
        <family val="2"/>
        <scheme val="minor"/>
      </rPr>
      <t>5%</t>
    </r>
    <r>
      <rPr>
        <sz val="12"/>
        <color theme="1"/>
        <rFont val="Aptos Narrow"/>
        <family val="2"/>
        <scheme val="minor"/>
      </rPr>
      <t xml:space="preserve"> (assumed)</t>
    </r>
  </si>
  <si>
    <t>Re    = 2%+(0.54×5%)    = 2%+2.7%    = 4.7%</t>
  </si>
  <si>
    <t>Figure 7-9</t>
  </si>
  <si>
    <t>Intrinsic Stock Price</t>
  </si>
  <si>
    <t>gl</t>
  </si>
  <si>
    <t>WACC</t>
  </si>
  <si>
    <t>Year</t>
  </si>
  <si>
    <t>Projected FCF</t>
  </si>
  <si>
    <t>HV2028 = FCF2028(1+gL)/(WACC-Gl)</t>
  </si>
  <si>
    <t>Value of Operations:</t>
  </si>
  <si>
    <t>Horizon Value of 2028:</t>
  </si>
  <si>
    <t xml:space="preserve"> + Present Value of FCF</t>
  </si>
  <si>
    <t xml:space="preserve"> Present Value of FV</t>
  </si>
  <si>
    <t>Horizon Value of 2024:</t>
  </si>
  <si>
    <t>HV2024= FCF2024(1+gL)/(WACC-Gl)</t>
  </si>
  <si>
    <t>Horizon Value of 2025:</t>
  </si>
  <si>
    <t>HV2025= FCF2025(1+gL)/(WACC-Gl)</t>
  </si>
  <si>
    <t>Horizon Value of 2026:</t>
  </si>
  <si>
    <t>HV2026= FCF2026(1+gL)/(WACC-Gl)</t>
  </si>
  <si>
    <t>HV2027= FCF2027(1+gL)/(WACC-Gl)</t>
  </si>
  <si>
    <t>Horizon Value of 2027:</t>
  </si>
  <si>
    <t xml:space="preserve"> +  Short Term Investments</t>
  </si>
  <si>
    <t>Estimated Total Intrinsic Value</t>
  </si>
  <si>
    <t xml:space="preserve"> - All Debt</t>
  </si>
  <si>
    <t xml:space="preserve"> - Preferred Stock</t>
  </si>
  <si>
    <t>Estimated Intrinsic Value of Equity</t>
  </si>
  <si>
    <t xml:space="preserve"> / Number of Shares</t>
  </si>
  <si>
    <t>Estimated Intrinsic Stock Price</t>
  </si>
  <si>
    <t xml:space="preserve">Horizon Value: </t>
  </si>
  <si>
    <t>WACC =</t>
  </si>
  <si>
    <t xml:space="preserve">FCF2028(1+gL)/(WACC-gL) = </t>
  </si>
  <si>
    <t xml:space="preserve">gL = </t>
  </si>
  <si>
    <t>Value of Operations :</t>
  </si>
  <si>
    <t xml:space="preserve">Present Value of HV </t>
  </si>
  <si>
    <t xml:space="preserve">Present Value of FCF </t>
  </si>
  <si>
    <t>$</t>
  </si>
  <si>
    <t>WACC = 5.7%</t>
  </si>
  <si>
    <t>gL</t>
  </si>
  <si>
    <t xml:space="preserve"> Present Value of HV</t>
  </si>
  <si>
    <t>Inputs</t>
  </si>
  <si>
    <t>Sales Growth in 1st Year</t>
  </si>
  <si>
    <t>Sales Growth in 2nd Year</t>
  </si>
  <si>
    <t>Sales Growth in 3rd Year</t>
  </si>
  <si>
    <t>Long Term Sales Growth</t>
  </si>
  <si>
    <t>Operating Profitability (OP)</t>
  </si>
  <si>
    <t>Capital Requirement (CR)</t>
  </si>
  <si>
    <t>Results</t>
  </si>
  <si>
    <t>Return on Invested Capital (ROIC)</t>
  </si>
  <si>
    <t>Higher Sales Growth Only</t>
  </si>
  <si>
    <t>Improve Growth, OP and CR</t>
  </si>
  <si>
    <t>Improve Growth and Capital Requirement (CR)</t>
  </si>
  <si>
    <t>Improve Growth and Operating Profitability (OP)</t>
  </si>
  <si>
    <t>Improve Operating Profitability (OP)</t>
  </si>
  <si>
    <t>Better Capital Utilization (Improve Capital Requirement (CR))</t>
  </si>
  <si>
    <t>Figure 7-10</t>
  </si>
  <si>
    <t>Scenario Analysis</t>
  </si>
  <si>
    <t>Forecast of Operations</t>
  </si>
  <si>
    <t>Observations</t>
  </si>
  <si>
    <t>When you change only the growth rate, the return on invested capital remains the same because there are no changes to the ratios. An increased growth rate increases sales only</t>
  </si>
  <si>
    <t>Increasing sales alone in this case reduces the value of the company and therefore the intrinsic stock price because the company is no more strategic despite the increase revenue. Free cash flow decreases as the investment in operating capital increases along side the increased sales because the Capitlization Ratio stays the same</t>
  </si>
  <si>
    <t>Increasing the operating profitability alone increases the net operating profit after taxes without increasing the sales (therefore also not impacting the investment in operating capital) which increases the free cash flow available which directly increases the Value of Operations and therefore intrinsic stock price. The return on invested capital also increases as the company is more profitable with the same sales</t>
  </si>
  <si>
    <r>
      <rPr>
        <b/>
        <sz val="14"/>
        <color theme="1"/>
        <rFont val="Aptos Narrow"/>
        <family val="2"/>
        <scheme val="minor"/>
      </rPr>
      <t>NOWC</t>
    </r>
    <r>
      <rPr>
        <sz val="14"/>
        <color theme="1"/>
        <rFont val="Aptos Narrow"/>
        <family val="2"/>
        <scheme val="minor"/>
      </rPr>
      <t xml:space="preserve">
(Operating Current Assets - Operating Current Laibilities)</t>
    </r>
  </si>
  <si>
    <r>
      <rPr>
        <b/>
        <sz val="14"/>
        <color theme="1"/>
        <rFont val="Aptos Narrow"/>
        <family val="2"/>
        <scheme val="minor"/>
      </rPr>
      <t xml:space="preserve">Net Operating Capital </t>
    </r>
    <r>
      <rPr>
        <sz val="14"/>
        <color theme="1"/>
        <rFont val="Aptos Narrow"/>
        <family val="2"/>
        <scheme val="minor"/>
      </rPr>
      <t xml:space="preserve">
(NOWC+Net PP&amp;E)</t>
    </r>
  </si>
  <si>
    <t>Decreasing the capital requirement does improve both the value of operations and intrinsic stock price from the status quo but does not have as great of an impact as increasing operating profitability. It causes a reduction in net operating capital which in turn reduces the investment in operating capital which increases free cash flow (which is NOPAT - Investment in Op Cap)</t>
  </si>
  <si>
    <t>Increasing the growth rate, the operating profitiability and reducing the capital requirement is the best way to increase the value of operations, the intrinsic stock price and improve the return on invested capital</t>
  </si>
  <si>
    <t>Figure 7-11</t>
  </si>
  <si>
    <t>Process for Finding the Value of a
Nonconstant Growth Stock</t>
  </si>
  <si>
    <t xml:space="preserve">r8 = </t>
  </si>
  <si>
    <t xml:space="preserve">D0  = </t>
  </si>
  <si>
    <t>g0,1 =</t>
  </si>
  <si>
    <t xml:space="preserve">g1,2 = </t>
  </si>
  <si>
    <t xml:space="preserve">g2,3 = </t>
  </si>
  <si>
    <t xml:space="preserve">gl = </t>
  </si>
  <si>
    <t>Last divident the company paid.</t>
  </si>
  <si>
    <t xml:space="preserve">Stockholders' required return. </t>
  </si>
  <si>
    <t xml:space="preserve">Growth rate for Year 1 only. </t>
  </si>
  <si>
    <t xml:space="preserve">Growth rate for Year 2 only. </t>
  </si>
  <si>
    <t xml:space="preserve">Growth rate for Year 3 only. </t>
  </si>
  <si>
    <t>Constant long-run growth rate for all years after Year 3.</t>
  </si>
  <si>
    <t>Growth rate</t>
  </si>
  <si>
    <t>Divident</t>
  </si>
  <si>
    <t>Dt</t>
  </si>
  <si>
    <t>D0</t>
  </si>
  <si>
    <t>D0(1+g0,1)</t>
  </si>
  <si>
    <t>D1(1+g1,2)</t>
  </si>
  <si>
    <t>D2(1+g1,2)</t>
  </si>
  <si>
    <t>D1</t>
  </si>
  <si>
    <t>D2</t>
  </si>
  <si>
    <t>D3</t>
  </si>
  <si>
    <t>(1+r8)^1</t>
  </si>
  <si>
    <t>(1+r8)^2</t>
  </si>
  <si>
    <t>(1+r8)^3</t>
  </si>
  <si>
    <t>HV3 = P3</t>
  </si>
  <si>
    <t xml:space="preserve">P3 = </t>
  </si>
  <si>
    <t>(r8-gl)</t>
  </si>
  <si>
    <t>D3 (1+gl)</t>
  </si>
  <si>
    <t>P3</t>
  </si>
  <si>
    <t>Pv of P3</t>
  </si>
  <si>
    <t>Pvs of Dividents</t>
  </si>
  <si>
    <t>D2(1+g2,3)</t>
  </si>
  <si>
    <t>infinite</t>
  </si>
  <si>
    <t>Valuation Method</t>
  </si>
  <si>
    <t>When It Works Well for Walmart</t>
  </si>
  <si>
    <t>When It Works Well for Target</t>
  </si>
  <si>
    <t>Free Cash Flow (FCF) Valuation Model</t>
  </si>
  <si>
    <t>Works well as Walmart generates strong operating cash flows, making it easier to estimate future cash flows and apply a discounted cash flow (DCF) approach. It helps in long-term intrinsic valuation.</t>
  </si>
  <si>
    <t>Useful for Target, especially if the company undergoes fluctuations in its dividend policy. Since Target has steady earnings but different growth patterns, this method can help determine long-term value.</t>
  </si>
  <si>
    <t>Dividend Growth Model</t>
  </si>
  <si>
    <t>Efficient for Walmart due to its stable dividend growth. Since Walmart has predictable payouts, estimating stock value using dividend projections is feasible.</t>
  </si>
  <si>
    <t>Target also pays dividends, but as a high-growth company, financial projections may be needed before applying this model effectively.</t>
  </si>
  <si>
    <t>Market Multiple Method</t>
  </si>
  <si>
    <t>Quick and useful for ballpark valuation. However, comparing Walmart with truly similar companies may be challenging due to its size and global reach.</t>
  </si>
  <si>
    <t>Easier to apply but depends on comparable companies. Target has a lower P/E ratio than Walmart, making its valuation straightforward yet influenced by market sentiment and industry trends.</t>
  </si>
  <si>
    <t>Key Takeaways:</t>
  </si>
  <si>
    <t>Comparison of Three Methods</t>
  </si>
  <si>
    <r>
      <t xml:space="preserve">For </t>
    </r>
    <r>
      <rPr>
        <b/>
        <sz val="16"/>
        <color theme="1"/>
        <rFont val="Aptos Narrow"/>
        <family val="2"/>
        <scheme val="minor"/>
      </rPr>
      <t>Walmart</t>
    </r>
    <r>
      <rPr>
        <sz val="16"/>
        <color theme="1"/>
        <rFont val="Aptos Narrow"/>
        <family val="2"/>
        <scheme val="minor"/>
      </rPr>
      <t xml:space="preserve">, I would recommend using the </t>
    </r>
    <r>
      <rPr>
        <b/>
        <sz val="16"/>
        <color theme="1"/>
        <rFont val="Aptos Narrow"/>
        <family val="2"/>
        <scheme val="minor"/>
      </rPr>
      <t>Dividend Growth Model</t>
    </r>
    <r>
      <rPr>
        <sz val="16"/>
        <color theme="1"/>
        <rFont val="Aptos Narrow"/>
        <family val="2"/>
        <scheme val="minor"/>
      </rPr>
      <t xml:space="preserve"> because Walmart is a mature company with a strong history of stable and growing dividend payments. The model allows for an efficient valuation without needing extensive financial forecasting, making it a reliable choice for estimating Walmart’s stock value.</t>
    </r>
  </si>
  <si>
    <r>
      <t xml:space="preserve">For </t>
    </r>
    <r>
      <rPr>
        <b/>
        <sz val="14"/>
        <color theme="1"/>
        <rFont val="Aptos Narrow"/>
        <family val="2"/>
        <scheme val="minor"/>
      </rPr>
      <t>Target</t>
    </r>
    <r>
      <rPr>
        <sz val="14"/>
        <color theme="1"/>
        <rFont val="Aptos Narrow"/>
        <family val="2"/>
        <scheme val="minor"/>
      </rPr>
      <t xml:space="preserve">, a combination of the </t>
    </r>
    <r>
      <rPr>
        <b/>
        <sz val="14"/>
        <color theme="1"/>
        <rFont val="Aptos Narrow"/>
        <family val="2"/>
        <scheme val="minor"/>
      </rPr>
      <t>Free Cash Flow (FCF) Valuation Model</t>
    </r>
    <r>
      <rPr>
        <sz val="14"/>
        <color theme="1"/>
        <rFont val="Aptos Narrow"/>
        <family val="2"/>
        <scheme val="minor"/>
      </rPr>
      <t xml:space="preserve"> and </t>
    </r>
    <r>
      <rPr>
        <b/>
        <sz val="14"/>
        <color theme="1"/>
        <rFont val="Aptos Narrow"/>
        <family val="2"/>
        <scheme val="minor"/>
      </rPr>
      <t>Market Multiple Method</t>
    </r>
    <r>
      <rPr>
        <sz val="14"/>
        <color theme="1"/>
        <rFont val="Aptos Narrow"/>
        <family val="2"/>
        <scheme val="minor"/>
      </rPr>
      <t xml:space="preserve"> may be more suitable. Target’s growth trajectory and financial dynamics suggest that future cash flows are important for assessing its long-term intrinsic value. Additionally, the </t>
    </r>
    <r>
      <rPr>
        <b/>
        <sz val="14"/>
        <color theme="1"/>
        <rFont val="Aptos Narrow"/>
        <family val="2"/>
        <scheme val="minor"/>
      </rPr>
      <t>Market Multiple Method</t>
    </r>
    <r>
      <rPr>
        <sz val="14"/>
        <color theme="1"/>
        <rFont val="Aptos Narrow"/>
        <family val="2"/>
        <scheme val="minor"/>
      </rPr>
      <t xml:space="preserve"> can provide a quick valuation based on comparable companies, though it should be used cautiously due to potential market sentiment fluctuations.</t>
    </r>
  </si>
  <si>
    <t xml:space="preserve">Comparison of Three Results With Respect to the current Market Valuation </t>
  </si>
  <si>
    <r>
      <t>Walmart:</t>
    </r>
    <r>
      <rPr>
        <sz val="16"/>
        <rFont val="Aptos Narrow"/>
        <family val="2"/>
        <scheme val="minor"/>
      </rPr>
      <t xml:space="preserve"> Applying the FCF model, if we consider Walmart's total revenues of $648.125 billion and assume 2.85 billion shares outstanding, the estimated intrinsic value per share would be approximately </t>
    </r>
    <r>
      <rPr>
        <b/>
        <sz val="16"/>
        <rFont val="Aptos Narrow"/>
        <family val="2"/>
        <scheme val="minor"/>
      </rPr>
      <t>$227.41</t>
    </r>
    <r>
      <rPr>
        <sz val="16"/>
        <rFont val="Aptos Narrow"/>
        <family val="2"/>
        <scheme val="minor"/>
      </rPr>
      <t>.​</t>
    </r>
  </si>
  <si>
    <r>
      <t>Target:</t>
    </r>
    <r>
      <rPr>
        <sz val="16"/>
        <rFont val="Aptos Narrow"/>
        <family val="2"/>
        <scheme val="minor"/>
      </rPr>
      <t xml:space="preserve"> With Target's total revenues at $107.412 billion and 460 million shares outstanding, the intrinsic value per share would be around </t>
    </r>
    <r>
      <rPr>
        <b/>
        <sz val="16"/>
        <rFont val="Aptos Narrow"/>
        <family val="2"/>
        <scheme val="minor"/>
      </rPr>
      <t>$233.50</t>
    </r>
    <r>
      <rPr>
        <sz val="16"/>
        <rFont val="Aptos Narrow"/>
        <family val="2"/>
        <scheme val="minor"/>
      </rPr>
      <t>.</t>
    </r>
  </si>
  <si>
    <r>
      <t>Walmart:</t>
    </r>
    <r>
      <rPr>
        <sz val="16"/>
        <rFont val="Aptos Narrow"/>
        <family val="2"/>
        <scheme val="minor"/>
      </rPr>
      <t xml:space="preserve"> Given Walmart's consistent dividend payouts and growth, this model would likely suggest a valuation higher than the current market price, though specific figures would depend on the dividend growth rate and required rate of return.​</t>
    </r>
  </si>
  <si>
    <r>
      <t>Target:</t>
    </r>
    <r>
      <rPr>
        <sz val="16"/>
        <rFont val="Aptos Narrow"/>
        <family val="2"/>
        <scheme val="minor"/>
      </rPr>
      <t xml:space="preserve"> Target's higher growth rate and less predictable dividend pattern make this model less reliable for valuation.</t>
    </r>
  </si>
  <si>
    <r>
      <t>Walmart:</t>
    </r>
    <r>
      <rPr>
        <sz val="16"/>
        <rFont val="Aptos Narrow"/>
        <family val="2"/>
        <scheme val="minor"/>
      </rPr>
      <t xml:space="preserve"> Using industry average price-to-earnings (P/E) ratios, this method might yield a valuation close to or slightly above the current market price, depending on Walmart's earnings.​</t>
    </r>
  </si>
  <si>
    <r>
      <t>Target:</t>
    </r>
    <r>
      <rPr>
        <sz val="16"/>
        <rFont val="Aptos Narrow"/>
        <family val="2"/>
        <scheme val="minor"/>
      </rPr>
      <t xml:space="preserve"> Similarly, applying market multiples could result in a valuation near the current trading price, reflecting market sentiment.</t>
    </r>
  </si>
  <si>
    <t>Current Market Values (as of April 9, 2025):</t>
  </si>
  <si>
    <r>
      <rPr>
        <b/>
        <sz val="18"/>
        <color theme="1"/>
        <rFont val="Aptos Narrow"/>
        <family val="2"/>
        <scheme val="minor"/>
      </rPr>
      <t>Walmart (WMT)</t>
    </r>
    <r>
      <rPr>
        <sz val="18"/>
        <color theme="1"/>
        <rFont val="Aptos Narrow"/>
        <family val="2"/>
        <scheme val="minor"/>
      </rPr>
      <t xml:space="preserve"> : Closed at $</t>
    </r>
    <r>
      <rPr>
        <b/>
        <sz val="18"/>
        <color theme="1"/>
        <rFont val="Aptos Narrow"/>
        <family val="2"/>
        <scheme val="minor"/>
      </rPr>
      <t>89.60</t>
    </r>
    <r>
      <rPr>
        <sz val="18"/>
        <color theme="1"/>
        <rFont val="Aptos Narrow"/>
        <family val="2"/>
        <scheme val="minor"/>
      </rPr>
      <t xml:space="preserve"> per share.  </t>
    </r>
  </si>
  <si>
    <r>
      <t>Target (TGT):</t>
    </r>
    <r>
      <rPr>
        <sz val="18"/>
        <color theme="1"/>
        <rFont val="Aptos Narrow"/>
        <family val="2"/>
        <scheme val="minor"/>
      </rPr>
      <t xml:space="preserve"> Closed at </t>
    </r>
    <r>
      <rPr>
        <b/>
        <sz val="18"/>
        <color theme="1"/>
        <rFont val="Aptos Narrow"/>
        <family val="2"/>
        <scheme val="minor"/>
      </rPr>
      <t>$97.69</t>
    </r>
    <r>
      <rPr>
        <sz val="18"/>
        <color theme="1"/>
        <rFont val="Aptos Narrow"/>
        <family val="2"/>
        <scheme val="minor"/>
      </rPr>
      <t xml:space="preserve"> per share.</t>
    </r>
  </si>
  <si>
    <t>Company</t>
  </si>
  <si>
    <t>P/E ratio</t>
  </si>
  <si>
    <r>
      <t xml:space="preserve">The </t>
    </r>
    <r>
      <rPr>
        <b/>
        <sz val="12"/>
        <color theme="1"/>
        <rFont val="Aptos Narrow"/>
        <family val="2"/>
        <scheme val="minor"/>
      </rPr>
      <t>Market Multiple</t>
    </r>
    <r>
      <rPr>
        <sz val="12"/>
        <color theme="1"/>
        <rFont val="Aptos Narrow"/>
        <family val="2"/>
        <scheme val="minor"/>
      </rPr>
      <t xml:space="preserve"> approach estimates a company's stock price using the formula:​</t>
    </r>
  </si>
  <si>
    <t>Burlington Stores, Inc. (BURL)</t>
  </si>
  <si>
    <t>PriceSmart, Inc. (PSMT)</t>
  </si>
  <si>
    <t>Price per Share=EPS×P/E Ratio</t>
  </si>
  <si>
    <t>Costco Wholesale Corporation (COST)</t>
  </si>
  <si>
    <t>Best Buy Co., Inc. (BBY)</t>
  </si>
  <si>
    <t>Earnings Per Share (EPS)</t>
  </si>
  <si>
    <t>Price-to-Earnings (P/E) Ratio</t>
  </si>
  <si>
    <t>Average P/E ratio</t>
  </si>
  <si>
    <t>This approach assumes that the value of a company's stock can be reasonably estimated based on how much the market is willing to pay for each dollar of earnings.</t>
  </si>
  <si>
    <t>EPS</t>
  </si>
  <si>
    <t>Price per Share</t>
  </si>
  <si>
    <t>Walmart</t>
  </si>
  <si>
    <t>Target</t>
  </si>
  <si>
    <t>"Market Multiple” Valuation Approach</t>
  </si>
  <si>
    <t>\\</t>
  </si>
  <si>
    <t>1. Balance Sheets</t>
  </si>
  <si>
    <t>Cash</t>
  </si>
  <si>
    <t>Short-term investments</t>
  </si>
  <si>
    <t>Accounts receivable</t>
  </si>
  <si>
    <t>Net PP&amp;E</t>
  </si>
  <si>
    <t>Total assets (TA)</t>
  </si>
  <si>
    <t>Liabilities and equity</t>
  </si>
  <si>
    <t>Accounts payable</t>
  </si>
  <si>
    <t>Notes Payable</t>
  </si>
  <si>
    <t>Accruals</t>
  </si>
  <si>
    <t>Line of credit</t>
  </si>
  <si>
    <t>Long-term bonds</t>
  </si>
  <si>
    <t>Total liabilities</t>
  </si>
  <si>
    <t>Preferred stock</t>
  </si>
  <si>
    <t>Common stock</t>
  </si>
  <si>
    <t>Retained earnings</t>
  </si>
  <si>
    <t>Total common equity</t>
  </si>
  <si>
    <t>Total liabs. &amp; equity</t>
  </si>
  <si>
    <t>Most  Recent</t>
  </si>
  <si>
    <t>Forecast</t>
  </si>
  <si>
    <t>Set to Zero</t>
  </si>
  <si>
    <t>Carry over from previous year</t>
  </si>
  <si>
    <t>Draw on LOC if financing deficit</t>
  </si>
  <si>
    <t>Previous RE + Add. To RE</t>
  </si>
  <si>
    <t>Check: TA - Total Liab. &amp; Eq. =</t>
  </si>
  <si>
    <t>2. Income Statement</t>
  </si>
  <si>
    <t>COGS (excl. depr.)</t>
  </si>
  <si>
    <t>Depreciation</t>
  </si>
  <si>
    <t>Other operating expenses</t>
  </si>
  <si>
    <t>Cost of strategic initiatives</t>
  </si>
  <si>
    <t>EBIT</t>
  </si>
  <si>
    <t>Less: Interest on notes</t>
  </si>
  <si>
    <t>Interest on bonds</t>
  </si>
  <si>
    <t>Interest on LOC</t>
  </si>
  <si>
    <t>Pre-tax earnings</t>
  </si>
  <si>
    <t>Preferred dividend</t>
  </si>
  <si>
    <t>Net income</t>
  </si>
  <si>
    <t>Regular common dividends</t>
  </si>
  <si>
    <t>Special dividends</t>
  </si>
  <si>
    <t>Pay if financing surplus</t>
  </si>
  <si>
    <t>Net income - Dividends</t>
  </si>
  <si>
    <t>3. Elimination of the Financial Deficit or Surplus</t>
  </si>
  <si>
    <t>Increase in spontaneous liabilities (accounts payable and accruals)</t>
  </si>
  <si>
    <t>Increase in notes payable, long-term bonds. Preferred stock, and common stock</t>
  </si>
  <si>
    <t>Net Income minus regular common dividends</t>
  </si>
  <si>
    <t>Increase in financing</t>
  </si>
  <si>
    <t>Amount of deficit or surplus financing:</t>
  </si>
  <si>
    <r>
      <t xml:space="preserve">If deficit in financing (negative), draw on line of credit                                      </t>
    </r>
    <r>
      <rPr>
        <b/>
        <sz val="12"/>
        <color rgb="FFFF0000"/>
        <rFont val="Aptos Narrow"/>
        <family val="2"/>
        <scheme val="minor"/>
      </rPr>
      <t xml:space="preserve"> Line of credit</t>
    </r>
  </si>
  <si>
    <r>
      <t xml:space="preserve">If surplus in financing (Positive), pay special dividend                            </t>
    </r>
    <r>
      <rPr>
        <b/>
        <sz val="12"/>
        <color rgb="FFFF0000"/>
        <rFont val="Aptos Narrow"/>
        <family val="2"/>
        <scheme val="minor"/>
      </rPr>
      <t xml:space="preserve">   Special dividend</t>
    </r>
  </si>
  <si>
    <t>2.00%          x    2025 Sales</t>
  </si>
  <si>
    <t>10.00%          x    2025 Sales</t>
  </si>
  <si>
    <t>20.00%          x    2025 Sales</t>
  </si>
  <si>
    <t>40.00%          x    2025 Sales</t>
  </si>
  <si>
    <t>4.00%          x    2025 Sales</t>
  </si>
  <si>
    <t>8.00%          x    2025 Sales</t>
  </si>
  <si>
    <t xml:space="preserve">        Cost of implementation</t>
  </si>
  <si>
    <t>110.00%          x    2024 Sales</t>
  </si>
  <si>
    <t>78.00%          x    2025 Sales</t>
  </si>
  <si>
    <t>10.00%          x    2025 Net PP&amp;E</t>
  </si>
  <si>
    <t>8.00%          x    Avg notes</t>
  </si>
  <si>
    <t>10.00%          x    Avg bonds</t>
  </si>
  <si>
    <t>9.50%          x    Beginning LOC</t>
  </si>
  <si>
    <t>25.00%          x    Pre-tax earnings</t>
  </si>
  <si>
    <t>7.00%          x    Avg pref. stock</t>
  </si>
  <si>
    <t>105.00%          x    2024 Dividend</t>
  </si>
  <si>
    <t>Included are accrued income taxes and accrued liabilities</t>
  </si>
  <si>
    <t>Other current liabilities</t>
  </si>
  <si>
    <t>Total Current Liabilities (CL)</t>
  </si>
  <si>
    <t>Other Current Assets</t>
  </si>
  <si>
    <t>Included are long term debt to financial insitutions and long term financial obligations - is this a current liability…</t>
  </si>
  <si>
    <t>Total Liabilities</t>
  </si>
  <si>
    <t>Included are all other liabilities due within one year including short term borrowings, deferred income taxes, lease obligations due in 1 year etc.</t>
  </si>
  <si>
    <t>Other equity</t>
  </si>
  <si>
    <t>Included are capital in excess of par value, accumulated other comprehensive loss and non controlling interest</t>
  </si>
  <si>
    <t>Includes product sales and membership sales</t>
  </si>
  <si>
    <t>Other Interest Gains &amp; Losses</t>
  </si>
  <si>
    <t>Taxes (25.5%)</t>
  </si>
  <si>
    <t>Other Income Loss post tax</t>
  </si>
  <si>
    <t>Net Income (NI) Before pref. div.</t>
  </si>
  <si>
    <t>Net dividend per share multiplied by common shares outstanding</t>
  </si>
  <si>
    <t>Same</t>
  </si>
  <si>
    <t>Addition to Retained Earnings (RE)</t>
  </si>
  <si>
    <t>12-5 Financial Statements for the Status Quo Scenario - Walmart</t>
  </si>
  <si>
    <t>MINUS Previous line of credit</t>
  </si>
  <si>
    <t>MINUS Increase in total assets</t>
  </si>
  <si>
    <t>Accounts Recievable was only 1.36% of FY2024 sales</t>
  </si>
  <si>
    <t>Forecast % increases for AR and Inventory increased forecasted current assets by a lot</t>
  </si>
  <si>
    <t>Net PP&amp;E in FY2024 was only 17% of sales</t>
  </si>
  <si>
    <t>Cash on hand in FY 2024 was 1.5% of sales</t>
  </si>
  <si>
    <t>Total Assets increased because of huge increases to A/R and Inventories in forecast</t>
  </si>
  <si>
    <t>Category not listed in FY 2024 income statements so this decreases earnings</t>
  </si>
  <si>
    <t>Still higher due to reduced COGS</t>
  </si>
  <si>
    <t>RE higher due to reduced COGS</t>
  </si>
  <si>
    <t>Asset increase needs to be funded by a LOC</t>
  </si>
  <si>
    <t>Liabilities decreased slightly in this scenario</t>
  </si>
  <si>
    <t>12-5 Financial Statements for the Status Quo Scenario - Target</t>
  </si>
  <si>
    <t>Taxes (21.9%)</t>
  </si>
  <si>
    <t>21.90%          x    Pre-tax earnings</t>
  </si>
  <si>
    <t>A/R in FY2024 was not broken out from "other current assets" so this increases as a function of 2025 sales</t>
  </si>
  <si>
    <t>Net PP&amp;E in FY 2024 was 30% of sales; this increases to 40%</t>
  </si>
  <si>
    <t>Inventories held in FY2024 was 11% of sales; increasing to 20% is a much larger %</t>
  </si>
  <si>
    <t>AP was 11% of sales so this is drastically reduced to 4% meaning they are paying off their vendors more often</t>
  </si>
  <si>
    <t>Accruals FY2024 were 5.7% of sales, which increases to 8% in 2025 forecast</t>
  </si>
  <si>
    <t>Total current liabilities decrease dramatically due to reduced accounts payable</t>
  </si>
  <si>
    <t>Total Assets increased while total liabilities and equity technically decreased from FY2024</t>
  </si>
  <si>
    <t>Total liabilties and equity decreased from FY2024 due to decreased AP but increased retained earnings/equity</t>
  </si>
  <si>
    <t>COGS in FY 2024 was 94.6% of sales so it is decreasing to 78% in this forecast</t>
  </si>
  <si>
    <t>There were no other listed OP expenses in 2024 so this is adding an expense as a percentage of 2025 sales</t>
  </si>
  <si>
    <t>Earnings increased as a result of increased sales and dramatically reduced COGS</t>
  </si>
  <si>
    <t>Retained earnings are positive in this scenario because dividends only increased by 5% but net income increased by 58%</t>
  </si>
  <si>
    <t>Spontaneous liabilities decreases because of the reduced accounts payable</t>
  </si>
  <si>
    <t>LOC needed honestly to reduce the accounts payable</t>
  </si>
  <si>
    <t>Cash in F2024 was 3.5% of sales; this decreases in this scenario to 2% of sales</t>
  </si>
  <si>
    <t>Depreciaton was 7.3% of PP&amp;E in FY2024 so it is increasing to 10% in this forecast</t>
  </si>
  <si>
    <t>Input          Basis for 2025 Forecast</t>
  </si>
  <si>
    <t>2024 inventory asset was only 8.5% of FY2024 sales</t>
  </si>
  <si>
    <t>2024 AP was 8.7% of sales (included are payments owed to vendors or suppliers on credit)</t>
  </si>
  <si>
    <t>COGS ratio in FY2024 was 95% of sales - forecast is Decreasing to 78% which will increase earnings</t>
  </si>
  <si>
    <t>$465.52</t>
  </si>
  <si>
    <t>$457.17</t>
  </si>
  <si>
    <t>$391.86</t>
  </si>
  <si>
    <t>$357.05</t>
  </si>
  <si>
    <t>Intrinsic Stock Price (Year 0)</t>
  </si>
  <si>
    <t>$214,605</t>
  </si>
  <si>
    <t>$210,756</t>
  </si>
  <si>
    <t>$180,648</t>
  </si>
  <si>
    <t>$164,599</t>
  </si>
  <si>
    <t>Value of Operations (Year 0)</t>
  </si>
  <si>
    <t>$5,558</t>
  </si>
  <si>
    <t>$5,459</t>
  </si>
  <si>
    <t>$4,679</t>
  </si>
  <si>
    <t>$4,263</t>
  </si>
  <si>
    <t>FCF (Year 5)</t>
  </si>
  <si>
    <t>$67,493</t>
  </si>
  <si>
    <t>$66,283</t>
  </si>
  <si>
    <t>$77,980</t>
  </si>
  <si>
    <t>$71,052</t>
  </si>
  <si>
    <t>Total Net Operating Capital (Year 5)</t>
  </si>
  <si>
    <t>$9,264</t>
  </si>
  <si>
    <t>$9,098</t>
  </si>
  <si>
    <t>$7,798</t>
  </si>
  <si>
    <t>$7,105</t>
  </si>
  <si>
    <t>NOPAT (Year 5)</t>
  </si>
  <si>
    <t>$132,340</t>
  </si>
  <si>
    <t>$129,966</t>
  </si>
  <si>
    <t>$118,420</t>
  </si>
  <si>
    <t>Sales (Year 5)</t>
  </si>
  <si>
    <t>13.73%</t>
  </si>
  <si>
    <t>10.00%</t>
  </si>
  <si>
    <t>ROIC, return on invested capital (Year 5)</t>
  </si>
  <si>
    <t>51%</t>
  </si>
  <si>
    <t>60%</t>
  </si>
  <si>
    <t>CR, Capital Requirement (Year 5)</t>
  </si>
  <si>
    <t>7.00%</t>
  </si>
  <si>
    <t>6.00%</t>
  </si>
  <si>
    <t>OP, Operating Profitability (Year 5)</t>
  </si>
  <si>
    <t>(4) Operations and Growth</t>
  </si>
  <si>
    <t>(3) Improve Operations (Only)</t>
  </si>
  <si>
    <t>(2) Higher Sales Growth</t>
  </si>
  <si>
    <t>(1) Status Quo</t>
  </si>
  <si>
    <t>Key Operating Plan Results</t>
  </si>
  <si>
    <t>Panel B: Key Operating Results</t>
  </si>
  <si>
    <t>Weighted average cost of capital (WACC)</t>
  </si>
  <si>
    <t>$150</t>
  </si>
  <si>
    <t>$100</t>
  </si>
  <si>
    <t>$50</t>
  </si>
  <si>
    <t>$0</t>
  </si>
  <si>
    <t>36.0%</t>
  </si>
  <si>
    <t>40.0%</t>
  </si>
  <si>
    <t>(Net PP&amp;E)/Sales (Year 2)</t>
  </si>
  <si>
    <t>38.0%</t>
  </si>
  <si>
    <t>(Net PP&amp;E)/Sales (Year 1)</t>
  </si>
  <si>
    <t>15.0%</t>
  </si>
  <si>
    <t>20.0%</t>
  </si>
  <si>
    <t>Inventory/Sales (Year 2)</t>
  </si>
  <si>
    <t>18.0%</t>
  </si>
  <si>
    <t>Inventory/Sales (Year 1)</t>
  </si>
  <si>
    <t>74.0%</t>
  </si>
  <si>
    <t>75.0%</t>
  </si>
  <si>
    <t>(COGS excl. depr.)/Sales (Year 2)</t>
  </si>
  <si>
    <t>(COGS excl. depr.)/Sales (Year 1)</t>
  </si>
  <si>
    <t>5.00%</t>
  </si>
  <si>
    <t>Long-term sales growth (gL)</t>
  </si>
  <si>
    <t>8.00%</t>
  </si>
  <si>
    <t>Sales growth (Year 3)</t>
  </si>
  <si>
    <t>9.00%</t>
  </si>
  <si>
    <t>Sales growth (Year 2)</t>
  </si>
  <si>
    <t>11.00%</t>
  </si>
  <si>
    <t>Sales growth (Year 1)</t>
  </si>
  <si>
    <t>Key Inputs</t>
  </si>
  <si>
    <t>Panel A: Key Inputs</t>
  </si>
  <si>
    <t>Figure 12-4</t>
  </si>
  <si>
    <t>$225.85</t>
  </si>
  <si>
    <t>$187.68</t>
  </si>
  <si>
    <t>$193.59</t>
  </si>
  <si>
    <t>$160.87</t>
  </si>
  <si>
    <t>$609,805</t>
  </si>
  <si>
    <t>$506,734</t>
  </si>
  <si>
    <t>$522,690</t>
  </si>
  <si>
    <t>$434,343</t>
  </si>
  <si>
    <t>$33,539</t>
  </si>
  <si>
    <t>$32,938</t>
  </si>
  <si>
    <t>$28,748</t>
  </si>
  <si>
    <t>$28,232</t>
  </si>
  <si>
    <t>$407,263</t>
  </si>
  <si>
    <t>$399,958</t>
  </si>
  <si>
    <t>$479,133</t>
  </si>
  <si>
    <t>$470,539</t>
  </si>
  <si>
    <t>$55,899</t>
  </si>
  <si>
    <t>$54,896</t>
  </si>
  <si>
    <t>$47,913</t>
  </si>
  <si>
    <t>$47,054</t>
  </si>
  <si>
    <t>$798,555</t>
  </si>
  <si>
    <t>$784,231</t>
  </si>
  <si>
    <t>75.6%</t>
  </si>
  <si>
    <t>Walmart Strategic Plan: Real COGS + Assumptions</t>
  </si>
  <si>
    <t xml:space="preserve">no of shares </t>
  </si>
  <si>
    <t>Preferred stock=</t>
  </si>
  <si>
    <t xml:space="preserve">Debt = </t>
  </si>
  <si>
    <t>present value of FCF =</t>
  </si>
  <si>
    <t xml:space="preserve">Estimated Intrinsic Stock Price = </t>
  </si>
  <si>
    <t xml:space="preserve">present value of Horizon Value = </t>
  </si>
  <si>
    <t xml:space="preserve">Value Of Operations (2023) = </t>
  </si>
  <si>
    <t>Horizon value =</t>
  </si>
  <si>
    <t>Value of Operations (2028)</t>
  </si>
  <si>
    <t>ROIC: NOPAT/ (Total OP. cap)</t>
  </si>
  <si>
    <t xml:space="preserve">CR ratio: (total op. cap.)/Sales. </t>
  </si>
  <si>
    <t xml:space="preserve">OP Ratio NOPAT/Sales </t>
  </si>
  <si>
    <t xml:space="preserve">Target WACC </t>
  </si>
  <si>
    <t xml:space="preserve">B5. Estimated Intrinsic Value </t>
  </si>
  <si>
    <t xml:space="preserve">change in NOPAT =  difference in net operating of year 2024-2023 </t>
  </si>
  <si>
    <t>FCF = NOPAT - net Opt capital</t>
  </si>
  <si>
    <t>Total net Operating capital</t>
  </si>
  <si>
    <t>Net operating working capital</t>
  </si>
  <si>
    <t>B4. Free Cash Flows</t>
  </si>
  <si>
    <t xml:space="preserve">Net operating profit after taxes </t>
  </si>
  <si>
    <t>Cost Of Strategic Initiatives</t>
  </si>
  <si>
    <t xml:space="preserve">Other Operating expenses </t>
  </si>
  <si>
    <t>COGS (excl. depr)</t>
  </si>
  <si>
    <t xml:space="preserve">B3. Operating Income </t>
  </si>
  <si>
    <t xml:space="preserve">Accruals </t>
  </si>
  <si>
    <t xml:space="preserve">Accounts Receivable </t>
  </si>
  <si>
    <t xml:space="preserve">B2. Operating Assets and Operating Liabilities </t>
  </si>
  <si>
    <t>B1. Sales Revenues</t>
  </si>
  <si>
    <t xml:space="preserve">Actual </t>
  </si>
  <si>
    <t xml:space="preserve">Panel B : Results </t>
  </si>
  <si>
    <t>NA</t>
  </si>
  <si>
    <t>Cost of strategic initiatives</t>
  </si>
  <si>
    <t>Tax rate</t>
  </si>
  <si>
    <t>Accruals/Sales</t>
  </si>
  <si>
    <t>(Acc. pay.)/Sales</t>
  </si>
  <si>
    <t>(Net PP&amp;E)/Sales</t>
  </si>
  <si>
    <t>Inventory/Sales</t>
  </si>
  <si>
    <t>(Acc.rec)/Sales</t>
  </si>
  <si>
    <t>Cash/Sales</t>
  </si>
  <si>
    <t xml:space="preserve">(Other op. exp.)/ Sales </t>
  </si>
  <si>
    <t>Depriciation /(Net PP&amp;E)</t>
  </si>
  <si>
    <t xml:space="preserve">(COGS excl. depr)/ Sales </t>
  </si>
  <si>
    <t xml:space="preserve">Sales Growth Rate </t>
  </si>
  <si>
    <t xml:space="preserve">A1. Operations </t>
  </si>
  <si>
    <t xml:space="preserve">Panel A : Inputs </t>
  </si>
  <si>
    <t xml:space="preserve">Microdrive forecast Actual </t>
  </si>
  <si>
    <t xml:space="preserve">Micro Drive Actual </t>
  </si>
  <si>
    <t>Industry Actual</t>
  </si>
  <si>
    <t xml:space="preserve">Status Quo </t>
  </si>
  <si>
    <t xml:space="preserve">Growth rate of dividends </t>
  </si>
  <si>
    <t>Actual</t>
  </si>
  <si>
    <t>4. Target Dividend Policy</t>
  </si>
  <si>
    <t>Additional rate on line of credit vs. ST debt</t>
  </si>
  <si>
    <t>Cost of equity</t>
  </si>
  <si>
    <t>Flotation cost of new preferred stock</t>
  </si>
  <si>
    <t>Rate on preferred stock (ignoring flotation costs)</t>
  </si>
  <si>
    <t>Rate on LT debt</t>
  </si>
  <si>
    <t>Rate on ST debt</t>
  </si>
  <si>
    <t>3. Costs of Capital</t>
  </si>
  <si>
    <t>% Line of  credit</t>
  </si>
  <si>
    <t>% Common stock</t>
  </si>
  <si>
    <t>% Preferred stock</t>
  </si>
  <si>
    <t>% Long-term debt</t>
  </si>
  <si>
    <t>% Short-term debt</t>
  </si>
  <si>
    <t>Target Market Weights</t>
  </si>
  <si>
    <t>Actual Market Weights</t>
  </si>
  <si>
    <t>2. Capital Structure</t>
  </si>
  <si>
    <t>(Acc. Pay.)/Sales</t>
  </si>
  <si>
    <t>(Acc. Rec.)/Sales</t>
  </si>
  <si>
    <t>(Other op. exp.)/Sales</t>
  </si>
  <si>
    <t>Depreciation/(Net PP&amp;E)</t>
  </si>
  <si>
    <t>(COGS excl. depr.)/Sales</t>
  </si>
  <si>
    <t>Sales growth rate</t>
  </si>
  <si>
    <t>1. Operations</t>
  </si>
  <si>
    <t>Walmart Forecast</t>
  </si>
  <si>
    <t>Walmart Actual</t>
  </si>
  <si>
    <t>Forecast: Inputs for the Status Quo Scenario</t>
  </si>
  <si>
    <t>Target Forecast</t>
  </si>
  <si>
    <t>Target Actual</t>
  </si>
  <si>
    <t>Stratgeic Initiatives</t>
  </si>
  <si>
    <t>FIG 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</si>
</sst>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 #,##0.00_ ;_ * \-#,##0.00_ ;_ * &quot;-&quot;??_ ;_ @_ "/>
    <numFmt numFmtId="165" formatCode="_(&quot;$&quot;* #,##0_);_(&quot;$&quot;* \(#,##0\);_(&quot;$&quot;* &quot;-&quot;??_);_(@_)"/>
    <numFmt numFmtId="166" formatCode="0.0%"/>
    <numFmt numFmtId="167" formatCode="_ * #,##0_ ;_ * \-#,##0_ ;_ * &quot;-&quot;??_ ;_ @_ "/>
    <numFmt numFmtId="168" formatCode="&quot;$&quot;#,##0"/>
    <numFmt numFmtId="169" formatCode="_ * #,##0.000_ ;_ * \-#,##0.000_ ;_ * &quot;-&quot;??_ ;_ @_ "/>
    <numFmt numFmtId="170" formatCode="_ * #,##0.0000_ ;_ * \-#,##0.0000_ ;_ * &quot;-&quot;??_ ;_ @_ "/>
    <numFmt numFmtId="171" formatCode="0.000"/>
    <numFmt numFmtId="172" formatCode="_(&quot;$&quot;* #,##0.000_);_(&quot;$&quot;* \(#,##0.000\);_(&quot;$&quot;* &quot;-&quot;??_);_(@_)"/>
    <numFmt numFmtId="173" formatCode="0.000%"/>
  </numFmts>
  <fonts count="40" x14ac:knownFonts="1">
    <font>
      <sz val="12"/>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sz val="12"/>
      <color theme="1"/>
      <name val="Aptos Narrow"/>
      <family val="2"/>
      <scheme val="minor"/>
    </font>
    <font>
      <i/>
      <sz val="12"/>
      <color theme="1"/>
      <name val="Aptos Narrow"/>
      <family val="2"/>
      <scheme val="minor"/>
    </font>
    <font>
      <sz val="12"/>
      <color rgb="FF000000"/>
      <name val="Aptos Narrow"/>
      <family val="2"/>
      <scheme val="minor"/>
    </font>
    <font>
      <b/>
      <sz val="16"/>
      <color theme="1"/>
      <name val="Aptos Narrow"/>
      <family val="2"/>
      <scheme val="minor"/>
    </font>
    <font>
      <b/>
      <i/>
      <sz val="16"/>
      <color theme="1"/>
      <name val="Aptos Narrow"/>
      <family val="2"/>
      <scheme val="minor"/>
    </font>
    <font>
      <b/>
      <sz val="16"/>
      <color rgb="FFFF0000"/>
      <name val="Aptos Narrow"/>
      <family val="2"/>
      <scheme val="minor"/>
    </font>
    <font>
      <b/>
      <sz val="22"/>
      <color rgb="FFFF0000"/>
      <name val="Aptos Narrow"/>
      <family val="2"/>
      <scheme val="minor"/>
    </font>
    <font>
      <b/>
      <sz val="14"/>
      <color theme="1"/>
      <name val="Aptos Narrow"/>
      <family val="2"/>
      <scheme val="minor"/>
    </font>
    <font>
      <b/>
      <sz val="14"/>
      <color rgb="FFFF0000"/>
      <name val="Aptos Narrow"/>
      <family val="2"/>
      <scheme val="minor"/>
    </font>
    <font>
      <sz val="14"/>
      <color theme="1"/>
      <name val="Aptos Narrow"/>
      <family val="2"/>
      <scheme val="minor"/>
    </font>
    <font>
      <i/>
      <sz val="14"/>
      <color theme="1"/>
      <name val="Aptos Narrow"/>
      <family val="2"/>
      <scheme val="minor"/>
    </font>
    <font>
      <sz val="14"/>
      <color rgb="FF000000"/>
      <name val="Aptos Narrow"/>
      <family val="2"/>
      <scheme val="minor"/>
    </font>
    <font>
      <sz val="16"/>
      <color theme="1"/>
      <name val="Aptos Narrow"/>
      <family val="2"/>
      <scheme val="minor"/>
    </font>
    <font>
      <sz val="18"/>
      <color theme="1"/>
      <name val="Aptos Narrow"/>
      <family val="2"/>
      <scheme val="minor"/>
    </font>
    <font>
      <sz val="14"/>
      <color theme="1"/>
      <name val="Aptos Narrow"/>
      <family val="2"/>
      <scheme val="minor"/>
    </font>
    <font>
      <b/>
      <sz val="14"/>
      <color theme="1"/>
      <name val="Aptos Narrow"/>
      <family val="2"/>
      <scheme val="minor"/>
    </font>
    <font>
      <b/>
      <sz val="12"/>
      <color theme="3" tint="0.249977111117893"/>
      <name val="Aptos Narrow"/>
      <family val="2"/>
      <scheme val="minor"/>
    </font>
    <font>
      <b/>
      <sz val="14"/>
      <name val="Aptos Narrow"/>
      <family val="2"/>
      <scheme val="minor"/>
    </font>
    <font>
      <i/>
      <sz val="16"/>
      <name val="Aptos Narrow"/>
      <family val="2"/>
      <scheme val="minor"/>
    </font>
    <font>
      <sz val="16"/>
      <name val="Aptos Narrow"/>
      <family val="2"/>
      <scheme val="minor"/>
    </font>
    <font>
      <b/>
      <sz val="16"/>
      <name val="Aptos Narrow"/>
      <family val="2"/>
      <scheme val="minor"/>
    </font>
    <font>
      <u/>
      <sz val="12"/>
      <color theme="10"/>
      <name val="Aptos Narrow"/>
      <family val="2"/>
      <scheme val="minor"/>
    </font>
    <font>
      <b/>
      <sz val="18"/>
      <color theme="1"/>
      <name val="Aptos Narrow"/>
      <family val="2"/>
      <scheme val="minor"/>
    </font>
    <font>
      <u/>
      <sz val="18"/>
      <color theme="10"/>
      <name val="Aptos Narrow"/>
      <family val="2"/>
      <scheme val="minor"/>
    </font>
    <font>
      <b/>
      <sz val="12"/>
      <color theme="1"/>
      <name val="Arial"/>
      <family val="2"/>
    </font>
    <font>
      <b/>
      <sz val="12"/>
      <color rgb="FF0070C0"/>
      <name val="Aptos Narrow"/>
      <family val="2"/>
      <scheme val="minor"/>
    </font>
    <font>
      <b/>
      <sz val="12"/>
      <color theme="5" tint="-0.249977111117893"/>
      <name val="Aptos Narrow"/>
      <family val="2"/>
      <scheme val="minor"/>
    </font>
    <font>
      <b/>
      <sz val="12"/>
      <color rgb="FFFF0000"/>
      <name val="Aptos Narrow"/>
      <family val="2"/>
      <scheme val="minor"/>
    </font>
    <font>
      <b/>
      <sz val="12"/>
      <color theme="5" tint="-0.499984740745262"/>
      <name val="Aptos Narrow"/>
      <family val="2"/>
      <scheme val="minor"/>
    </font>
    <font>
      <sz val="16"/>
      <color rgb="FF004A78"/>
      <name val="Arial"/>
      <family val="2"/>
    </font>
    <font>
      <b/>
      <sz val="16"/>
      <color rgb="FF004A78"/>
      <name val="Arial"/>
      <family val="2"/>
    </font>
    <font>
      <sz val="12"/>
      <color theme="1"/>
      <name val="Aptos Narrow"/>
      <scheme val="minor"/>
    </font>
    <font>
      <b/>
      <sz val="11"/>
      <color theme="1"/>
      <name val="Aptos Narrow"/>
      <family val="2"/>
      <scheme val="minor"/>
    </font>
    <font>
      <b/>
      <i/>
      <sz val="12"/>
      <color theme="5" tint="-0.499984740745262"/>
      <name val="Aptos Narrow"/>
      <family val="2"/>
      <scheme val="minor"/>
    </font>
    <font>
      <sz val="30"/>
      <color rgb="FF004A78"/>
      <name val="Arial"/>
      <family val="2"/>
    </font>
    <font>
      <sz val="12"/>
      <name val="Aptos Narrow"/>
      <family val="2"/>
      <scheme val="minor"/>
    </font>
  </fonts>
  <fills count="18">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theme="3" tint="0.89999084444715716"/>
        <bgColor indexed="64"/>
      </patternFill>
    </fill>
    <fill>
      <patternFill patternType="solid">
        <fgColor rgb="FFEAE4A8"/>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rgb="FFE3E7AB"/>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D966"/>
        <bgColor indexed="64"/>
      </patternFill>
    </fill>
    <fill>
      <patternFill patternType="solid">
        <fgColor rgb="FFCCECFF"/>
        <bgColor indexed="64"/>
      </patternFill>
    </fill>
  </fills>
  <borders count="7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thin">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s>
  <cellStyleXfs count="6">
    <xf numFmtId="0" fontId="0" fillId="0" borderId="0"/>
    <xf numFmtId="44" fontId="2" fillId="0" borderId="0" applyFont="0" applyFill="0" applyBorder="0" applyAlignment="0" applyProtection="0"/>
    <xf numFmtId="9" fontId="2" fillId="0" borderId="0" applyFont="0" applyFill="0" applyBorder="0" applyAlignment="0" applyProtection="0"/>
    <xf numFmtId="0" fontId="1" fillId="0" borderId="0"/>
    <xf numFmtId="9" fontId="1" fillId="0" borderId="0" applyFont="0" applyFill="0" applyBorder="0" applyAlignment="0" applyProtection="0"/>
    <xf numFmtId="0" fontId="25" fillId="0" borderId="0" applyNumberFormat="0" applyFill="0" applyBorder="0" applyAlignment="0" applyProtection="0"/>
  </cellStyleXfs>
  <cellXfs count="654">
    <xf numFmtId="0" fontId="0" fillId="0" borderId="0" xfId="0"/>
    <xf numFmtId="0" fontId="0" fillId="0" borderId="0" xfId="0" applyAlignment="1">
      <alignment wrapText="1"/>
    </xf>
    <xf numFmtId="165" fontId="0" fillId="0" borderId="0" xfId="1" applyNumberFormat="1" applyFont="1"/>
    <xf numFmtId="0" fontId="3" fillId="0" borderId="0" xfId="0" applyFont="1"/>
    <xf numFmtId="0" fontId="5" fillId="0" borderId="0" xfId="0" applyFont="1"/>
    <xf numFmtId="0" fontId="0" fillId="0" borderId="2" xfId="0" applyBorder="1"/>
    <xf numFmtId="165" fontId="0" fillId="0" borderId="0" xfId="1" applyNumberFormat="1" applyFont="1" applyBorder="1"/>
    <xf numFmtId="165" fontId="0" fillId="0" borderId="5" xfId="1" applyNumberFormat="1" applyFont="1" applyBorder="1"/>
    <xf numFmtId="0" fontId="0" fillId="0" borderId="4" xfId="0" applyBorder="1" applyAlignment="1">
      <alignment wrapText="1"/>
    </xf>
    <xf numFmtId="9" fontId="0" fillId="0" borderId="0" xfId="2" applyFont="1" applyBorder="1"/>
    <xf numFmtId="0" fontId="3" fillId="0" borderId="2" xfId="0" applyFont="1" applyBorder="1"/>
    <xf numFmtId="0" fontId="0" fillId="0" borderId="5" xfId="0" applyBorder="1"/>
    <xf numFmtId="0" fontId="0" fillId="0" borderId="3" xfId="0" applyBorder="1"/>
    <xf numFmtId="0" fontId="0" fillId="0" borderId="4" xfId="0" applyBorder="1"/>
    <xf numFmtId="0" fontId="5" fillId="0" borderId="0" xfId="0" applyFont="1" applyAlignment="1">
      <alignment horizontal="right" wrapText="1"/>
    </xf>
    <xf numFmtId="0" fontId="11" fillId="0" borderId="4" xfId="0" applyFont="1" applyBorder="1"/>
    <xf numFmtId="0" fontId="11" fillId="0" borderId="0" xfId="0" applyFont="1"/>
    <xf numFmtId="165" fontId="11" fillId="0" borderId="0" xfId="1" applyNumberFormat="1" applyFont="1" applyBorder="1" applyAlignment="1">
      <alignment wrapText="1"/>
    </xf>
    <xf numFmtId="165" fontId="11" fillId="0" borderId="5" xfId="1" applyNumberFormat="1" applyFont="1" applyBorder="1" applyAlignment="1">
      <alignment wrapText="1"/>
    </xf>
    <xf numFmtId="0" fontId="12" fillId="0" borderId="4" xfId="0" applyFont="1" applyBorder="1" applyAlignment="1">
      <alignment wrapText="1"/>
    </xf>
    <xf numFmtId="0" fontId="13" fillId="0" borderId="4" xfId="0" applyFont="1" applyBorder="1" applyAlignment="1">
      <alignment horizontal="left" wrapText="1"/>
    </xf>
    <xf numFmtId="0" fontId="13" fillId="0" borderId="0" xfId="0" applyFont="1"/>
    <xf numFmtId="165" fontId="13" fillId="0" borderId="0" xfId="1" applyNumberFormat="1" applyFont="1" applyBorder="1"/>
    <xf numFmtId="165" fontId="13" fillId="0" borderId="5" xfId="1" applyNumberFormat="1" applyFont="1" applyBorder="1"/>
    <xf numFmtId="0" fontId="14" fillId="0" borderId="4" xfId="0" applyFont="1" applyBorder="1" applyAlignment="1">
      <alignment horizontal="right" wrapText="1"/>
    </xf>
    <xf numFmtId="0" fontId="14" fillId="0" borderId="0" xfId="0" applyFont="1"/>
    <xf numFmtId="165" fontId="14" fillId="0" borderId="0" xfId="1" applyNumberFormat="1" applyFont="1" applyBorder="1"/>
    <xf numFmtId="165" fontId="14" fillId="0" borderId="5" xfId="1" applyNumberFormat="1" applyFont="1" applyBorder="1"/>
    <xf numFmtId="0" fontId="13" fillId="0" borderId="4" xfId="0" applyFont="1" applyBorder="1" applyAlignment="1">
      <alignment wrapText="1"/>
    </xf>
    <xf numFmtId="0" fontId="12" fillId="0" borderId="4" xfId="0" applyFont="1" applyBorder="1" applyAlignment="1">
      <alignment horizontal="left" wrapText="1"/>
    </xf>
    <xf numFmtId="165" fontId="11" fillId="0" borderId="0" xfId="1" applyNumberFormat="1" applyFont="1" applyBorder="1"/>
    <xf numFmtId="165" fontId="11" fillId="0" borderId="5" xfId="1" applyNumberFormat="1" applyFont="1" applyBorder="1"/>
    <xf numFmtId="0" fontId="11" fillId="0" borderId="4" xfId="0" applyFont="1" applyBorder="1" applyAlignment="1">
      <alignment wrapText="1"/>
    </xf>
    <xf numFmtId="44" fontId="13" fillId="0" borderId="0" xfId="1" applyFont="1" applyBorder="1"/>
    <xf numFmtId="44" fontId="13" fillId="0" borderId="5" xfId="1" applyFont="1" applyBorder="1"/>
    <xf numFmtId="0" fontId="11" fillId="0" borderId="4" xfId="0" applyFont="1" applyBorder="1" applyAlignment="1">
      <alignment horizontal="left" wrapText="1"/>
    </xf>
    <xf numFmtId="1" fontId="13" fillId="0" borderId="0" xfId="1" applyNumberFormat="1" applyFont="1" applyBorder="1"/>
    <xf numFmtId="1" fontId="13" fillId="0" borderId="5" xfId="1" applyNumberFormat="1" applyFont="1" applyBorder="1"/>
    <xf numFmtId="0" fontId="13" fillId="0" borderId="6" xfId="0" applyFont="1" applyBorder="1" applyAlignment="1">
      <alignment wrapText="1"/>
    </xf>
    <xf numFmtId="0" fontId="13" fillId="0" borderId="7" xfId="0" applyFont="1" applyBorder="1"/>
    <xf numFmtId="10" fontId="13" fillId="0" borderId="7" xfId="0" applyNumberFormat="1" applyFont="1" applyBorder="1"/>
    <xf numFmtId="166" fontId="13" fillId="0" borderId="7" xfId="2" applyNumberFormat="1" applyFont="1" applyBorder="1"/>
    <xf numFmtId="166" fontId="13" fillId="0" borderId="8" xfId="2" applyNumberFormat="1" applyFont="1" applyBorder="1"/>
    <xf numFmtId="0" fontId="14" fillId="0" borderId="6" xfId="0" applyFont="1" applyBorder="1" applyAlignment="1">
      <alignment horizontal="right" wrapText="1"/>
    </xf>
    <xf numFmtId="165" fontId="13" fillId="0" borderId="7" xfId="1" applyNumberFormat="1" applyFont="1" applyBorder="1"/>
    <xf numFmtId="165" fontId="13" fillId="0" borderId="8" xfId="1" applyNumberFormat="1" applyFont="1" applyBorder="1"/>
    <xf numFmtId="0" fontId="10" fillId="2" borderId="9" xfId="0" applyFont="1" applyFill="1" applyBorder="1" applyAlignment="1">
      <alignment wrapText="1"/>
    </xf>
    <xf numFmtId="0" fontId="14" fillId="0" borderId="0" xfId="0" applyFont="1" applyAlignment="1">
      <alignment horizontal="right" wrapText="1"/>
    </xf>
    <xf numFmtId="0" fontId="4" fillId="0" borderId="0" xfId="0" applyFont="1" applyAlignment="1">
      <alignment wrapText="1"/>
    </xf>
    <xf numFmtId="0" fontId="10" fillId="2" borderId="10" xfId="0" applyFont="1" applyFill="1" applyBorder="1" applyAlignment="1">
      <alignment wrapText="1"/>
    </xf>
    <xf numFmtId="0" fontId="7" fillId="3" borderId="1" xfId="0" applyFont="1" applyFill="1" applyBorder="1" applyAlignment="1">
      <alignment wrapText="1"/>
    </xf>
    <xf numFmtId="165" fontId="7" fillId="3" borderId="2" xfId="1" applyNumberFormat="1" applyFont="1" applyFill="1" applyBorder="1" applyAlignment="1">
      <alignment vertical="center"/>
    </xf>
    <xf numFmtId="165" fontId="11" fillId="3" borderId="0" xfId="1" applyNumberFormat="1" applyFont="1" applyFill="1" applyBorder="1" applyAlignment="1">
      <alignment wrapText="1"/>
    </xf>
    <xf numFmtId="165" fontId="11" fillId="3" borderId="5" xfId="1" applyNumberFormat="1" applyFont="1" applyFill="1" applyBorder="1" applyAlignment="1">
      <alignment wrapText="1"/>
    </xf>
    <xf numFmtId="165" fontId="11" fillId="3" borderId="2" xfId="1" applyNumberFormat="1" applyFont="1" applyFill="1" applyBorder="1" applyAlignment="1">
      <alignment wrapText="1"/>
    </xf>
    <xf numFmtId="165" fontId="11" fillId="3" borderId="3" xfId="1" applyNumberFormat="1" applyFont="1" applyFill="1" applyBorder="1" applyAlignment="1">
      <alignment wrapText="1"/>
    </xf>
    <xf numFmtId="0" fontId="13" fillId="0" borderId="1" xfId="0" applyFont="1" applyBorder="1" applyAlignment="1">
      <alignment wrapText="1"/>
    </xf>
    <xf numFmtId="0" fontId="13" fillId="0" borderId="2" xfId="0" applyFont="1" applyBorder="1"/>
    <xf numFmtId="165" fontId="13" fillId="0" borderId="2" xfId="1" applyNumberFormat="1" applyFont="1" applyBorder="1"/>
    <xf numFmtId="165" fontId="13" fillId="0" borderId="3" xfId="1" applyNumberFormat="1" applyFont="1" applyBorder="1"/>
    <xf numFmtId="9" fontId="13" fillId="0" borderId="0" xfId="2" applyFont="1" applyBorder="1"/>
    <xf numFmtId="9" fontId="13" fillId="0" borderId="5" xfId="2" applyFont="1" applyBorder="1"/>
    <xf numFmtId="166" fontId="13" fillId="0" borderId="0" xfId="2" applyNumberFormat="1" applyFont="1" applyBorder="1"/>
    <xf numFmtId="166" fontId="13" fillId="0" borderId="5" xfId="2" applyNumberFormat="1" applyFont="1" applyBorder="1"/>
    <xf numFmtId="9" fontId="13" fillId="0" borderId="7" xfId="2" applyFont="1" applyBorder="1"/>
    <xf numFmtId="9" fontId="13" fillId="0" borderId="8" xfId="2" applyFont="1" applyBorder="1"/>
    <xf numFmtId="0" fontId="13" fillId="0" borderId="5" xfId="0" applyFont="1" applyBorder="1"/>
    <xf numFmtId="166" fontId="13" fillId="0" borderId="5" xfId="0" applyNumberFormat="1" applyFont="1" applyBorder="1"/>
    <xf numFmtId="9" fontId="13" fillId="0" borderId="5" xfId="0" applyNumberFormat="1" applyFont="1" applyBorder="1"/>
    <xf numFmtId="0" fontId="13" fillId="0" borderId="4" xfId="0" applyFont="1" applyBorder="1"/>
    <xf numFmtId="165" fontId="13" fillId="0" borderId="0" xfId="0" applyNumberFormat="1" applyFont="1"/>
    <xf numFmtId="165" fontId="13" fillId="0" borderId="5" xfId="0" applyNumberFormat="1" applyFont="1" applyBorder="1"/>
    <xf numFmtId="9" fontId="13" fillId="0" borderId="7" xfId="0" applyNumberFormat="1" applyFont="1" applyBorder="1"/>
    <xf numFmtId="166" fontId="13" fillId="0" borderId="0" xfId="0" applyNumberFormat="1" applyFont="1"/>
    <xf numFmtId="9" fontId="13" fillId="0" borderId="0" xfId="0" applyNumberFormat="1" applyFont="1"/>
    <xf numFmtId="0" fontId="7" fillId="3" borderId="2" xfId="0" applyFont="1" applyFill="1" applyBorder="1" applyAlignment="1">
      <alignment wrapText="1"/>
    </xf>
    <xf numFmtId="0" fontId="7" fillId="3" borderId="3" xfId="0" applyFont="1" applyFill="1" applyBorder="1" applyAlignment="1">
      <alignment wrapText="1"/>
    </xf>
    <xf numFmtId="165" fontId="7" fillId="3" borderId="2" xfId="1" applyNumberFormat="1" applyFont="1" applyFill="1" applyBorder="1"/>
    <xf numFmtId="165" fontId="7" fillId="3" borderId="3" xfId="1" applyNumberFormat="1" applyFont="1" applyFill="1" applyBorder="1"/>
    <xf numFmtId="0" fontId="14" fillId="0" borderId="4" xfId="0" applyFont="1" applyBorder="1" applyAlignment="1">
      <alignment horizontal="right"/>
    </xf>
    <xf numFmtId="0" fontId="12" fillId="0" borderId="4" xfId="0" applyFont="1" applyBorder="1"/>
    <xf numFmtId="0" fontId="12" fillId="0" borderId="4" xfId="0" applyFont="1" applyBorder="1" applyAlignment="1">
      <alignment horizontal="left"/>
    </xf>
    <xf numFmtId="0" fontId="13" fillId="0" borderId="4" xfId="0" applyFont="1" applyBorder="1" applyAlignment="1">
      <alignment horizontal="left"/>
    </xf>
    <xf numFmtId="0" fontId="13" fillId="0" borderId="6" xfId="0" applyFont="1" applyBorder="1"/>
    <xf numFmtId="166" fontId="13" fillId="0" borderId="7" xfId="0" applyNumberFormat="1" applyFont="1" applyBorder="1"/>
    <xf numFmtId="0" fontId="7" fillId="3" borderId="2" xfId="0" applyFont="1" applyFill="1" applyBorder="1"/>
    <xf numFmtId="165" fontId="15" fillId="0" borderId="0" xfId="0" applyNumberFormat="1" applyFont="1"/>
    <xf numFmtId="165" fontId="15" fillId="0" borderId="5" xfId="0" applyNumberFormat="1" applyFont="1" applyBorder="1"/>
    <xf numFmtId="0" fontId="13" fillId="0" borderId="0" xfId="0" applyFont="1" applyAlignment="1">
      <alignment wrapText="1"/>
    </xf>
    <xf numFmtId="165" fontId="13" fillId="0" borderId="2" xfId="0" applyNumberFormat="1" applyFont="1" applyBorder="1"/>
    <xf numFmtId="165" fontId="13" fillId="0" borderId="3" xfId="0" applyNumberFormat="1" applyFont="1" applyBorder="1"/>
    <xf numFmtId="0" fontId="0" fillId="0" borderId="0" xfId="0" applyAlignment="1">
      <alignment horizontal="right"/>
    </xf>
    <xf numFmtId="0" fontId="3" fillId="0" borderId="0" xfId="0" applyFont="1" applyAlignment="1">
      <alignment horizontal="right"/>
    </xf>
    <xf numFmtId="0" fontId="5" fillId="0" borderId="0" xfId="0" applyFont="1" applyAlignment="1">
      <alignment horizontal="right"/>
    </xf>
    <xf numFmtId="165" fontId="6" fillId="0" borderId="0" xfId="0" applyNumberFormat="1" applyFont="1" applyAlignment="1">
      <alignment horizontal="right"/>
    </xf>
    <xf numFmtId="165" fontId="0" fillId="3" borderId="0" xfId="1" applyNumberFormat="1" applyFont="1" applyFill="1" applyBorder="1"/>
    <xf numFmtId="165" fontId="7" fillId="3" borderId="0" xfId="1" applyNumberFormat="1" applyFont="1" applyFill="1" applyBorder="1" applyAlignment="1">
      <alignment vertical="center"/>
    </xf>
    <xf numFmtId="165" fontId="3" fillId="3" borderId="0" xfId="1" applyNumberFormat="1" applyFont="1" applyFill="1" applyBorder="1"/>
    <xf numFmtId="165" fontId="3" fillId="3" borderId="5" xfId="1" applyNumberFormat="1" applyFont="1" applyFill="1" applyBorder="1"/>
    <xf numFmtId="0" fontId="11" fillId="4" borderId="1" xfId="0" applyFont="1" applyFill="1" applyBorder="1" applyAlignment="1">
      <alignment wrapText="1"/>
    </xf>
    <xf numFmtId="0" fontId="13" fillId="4" borderId="22" xfId="0" applyFont="1" applyFill="1" applyBorder="1"/>
    <xf numFmtId="0" fontId="11" fillId="4" borderId="23" xfId="0" applyFont="1" applyFill="1" applyBorder="1" applyAlignment="1">
      <alignment horizontal="center"/>
    </xf>
    <xf numFmtId="165" fontId="11" fillId="4" borderId="24" xfId="1" applyNumberFormat="1" applyFont="1" applyFill="1" applyBorder="1" applyAlignment="1">
      <alignment horizontal="center"/>
    </xf>
    <xf numFmtId="0" fontId="13" fillId="0" borderId="0" xfId="0" applyFont="1" applyAlignment="1">
      <alignment horizontal="center"/>
    </xf>
    <xf numFmtId="165" fontId="13" fillId="0" borderId="0" xfId="1" applyNumberFormat="1" applyFont="1" applyBorder="1" applyAlignment="1">
      <alignment horizontal="center"/>
    </xf>
    <xf numFmtId="0" fontId="13" fillId="4" borderId="25" xfId="0" applyFont="1" applyFill="1" applyBorder="1" applyAlignment="1">
      <alignment horizontal="center" wrapText="1"/>
    </xf>
    <xf numFmtId="0" fontId="13" fillId="4" borderId="14" xfId="0" applyFont="1" applyFill="1" applyBorder="1" applyAlignment="1">
      <alignment horizontal="center"/>
    </xf>
    <xf numFmtId="0" fontId="11" fillId="5" borderId="11" xfId="0" applyFont="1" applyFill="1" applyBorder="1" applyAlignment="1">
      <alignment horizontal="center" wrapText="1"/>
    </xf>
    <xf numFmtId="0" fontId="11" fillId="5" borderId="11" xfId="0" applyFont="1" applyFill="1" applyBorder="1" applyAlignment="1">
      <alignment horizontal="right" vertical="center"/>
    </xf>
    <xf numFmtId="0" fontId="13" fillId="5" borderId="11" xfId="0" applyFont="1" applyFill="1" applyBorder="1" applyAlignment="1">
      <alignment horizontal="right"/>
    </xf>
    <xf numFmtId="165" fontId="13" fillId="5" borderId="11" xfId="0" applyNumberFormat="1" applyFont="1" applyFill="1" applyBorder="1" applyAlignment="1">
      <alignment horizontal="right"/>
    </xf>
    <xf numFmtId="0" fontId="13" fillId="4" borderId="35" xfId="0" applyFont="1" applyFill="1" applyBorder="1" applyAlignment="1">
      <alignment horizontal="center"/>
    </xf>
    <xf numFmtId="0" fontId="13" fillId="4" borderId="36" xfId="0" applyFont="1" applyFill="1" applyBorder="1" applyAlignment="1">
      <alignment horizontal="center"/>
    </xf>
    <xf numFmtId="0" fontId="13" fillId="4" borderId="32" xfId="0" applyFont="1" applyFill="1" applyBorder="1" applyAlignment="1">
      <alignment horizontal="center"/>
    </xf>
    <xf numFmtId="0" fontId="13" fillId="4" borderId="13" xfId="0" applyFont="1" applyFill="1" applyBorder="1" applyAlignment="1">
      <alignment horizontal="center"/>
    </xf>
    <xf numFmtId="0" fontId="13" fillId="4" borderId="12" xfId="0" applyFont="1" applyFill="1" applyBorder="1" applyAlignment="1">
      <alignment horizontal="center"/>
    </xf>
    <xf numFmtId="165" fontId="13" fillId="2" borderId="34" xfId="1" applyNumberFormat="1" applyFont="1" applyFill="1" applyBorder="1"/>
    <xf numFmtId="165" fontId="13" fillId="2" borderId="28" xfId="1" applyNumberFormat="1" applyFont="1" applyFill="1" applyBorder="1" applyAlignment="1">
      <alignment vertical="center" wrapText="1"/>
    </xf>
    <xf numFmtId="165" fontId="13" fillId="2" borderId="29" xfId="1" applyNumberFormat="1" applyFont="1" applyFill="1" applyBorder="1" applyAlignment="1">
      <alignment vertical="center"/>
    </xf>
    <xf numFmtId="165" fontId="13" fillId="2" borderId="28" xfId="1" applyNumberFormat="1" applyFont="1" applyFill="1" applyBorder="1" applyAlignment="1">
      <alignment horizontal="center" vertical="center"/>
    </xf>
    <xf numFmtId="10" fontId="13" fillId="2" borderId="29" xfId="0" applyNumberFormat="1" applyFont="1" applyFill="1" applyBorder="1" applyAlignment="1">
      <alignment horizontal="center"/>
    </xf>
    <xf numFmtId="165" fontId="13" fillId="2" borderId="27" xfId="1" applyNumberFormat="1" applyFont="1" applyFill="1" applyBorder="1"/>
    <xf numFmtId="0" fontId="11" fillId="5" borderId="30" xfId="0" applyFont="1" applyFill="1" applyBorder="1" applyAlignment="1">
      <alignment horizontal="center" wrapText="1"/>
    </xf>
    <xf numFmtId="165" fontId="11" fillId="2" borderId="21" xfId="1" applyNumberFormat="1" applyFont="1" applyFill="1" applyBorder="1" applyAlignment="1">
      <alignment horizontal="center"/>
    </xf>
    <xf numFmtId="165" fontId="11" fillId="2" borderId="20" xfId="1" applyNumberFormat="1" applyFont="1" applyFill="1" applyBorder="1" applyAlignment="1">
      <alignment horizontal="center"/>
    </xf>
    <xf numFmtId="0" fontId="11" fillId="2" borderId="31" xfId="0" applyFont="1" applyFill="1" applyBorder="1" applyAlignment="1">
      <alignment horizontal="right" vertical="top" wrapText="1"/>
    </xf>
    <xf numFmtId="0" fontId="0" fillId="0" borderId="0" xfId="0" applyAlignment="1">
      <alignment horizontal="right" wrapText="1"/>
    </xf>
    <xf numFmtId="0" fontId="1" fillId="0" borderId="0" xfId="3"/>
    <xf numFmtId="0" fontId="11" fillId="7" borderId="0" xfId="3" applyFont="1" applyFill="1" applyAlignment="1">
      <alignment horizontal="left"/>
    </xf>
    <xf numFmtId="10" fontId="13" fillId="7" borderId="0" xfId="3" applyNumberFormat="1" applyFont="1" applyFill="1"/>
    <xf numFmtId="0" fontId="13" fillId="7" borderId="0" xfId="3" applyFont="1" applyFill="1"/>
    <xf numFmtId="0" fontId="11" fillId="7" borderId="0" xfId="3" applyFont="1" applyFill="1"/>
    <xf numFmtId="9" fontId="13" fillId="7" borderId="0" xfId="3" applyNumberFormat="1" applyFont="1" applyFill="1"/>
    <xf numFmtId="2" fontId="13" fillId="7" borderId="0" xfId="3" applyNumberFormat="1" applyFont="1" applyFill="1"/>
    <xf numFmtId="0" fontId="9" fillId="0" borderId="0" xfId="3" applyFont="1" applyAlignment="1">
      <alignment horizontal="left"/>
    </xf>
    <xf numFmtId="0" fontId="3" fillId="0" borderId="0" xfId="0" applyFont="1" applyAlignment="1">
      <alignment horizontal="left" vertical="center" indent="1"/>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165" fontId="13" fillId="7" borderId="0" xfId="3" applyNumberFormat="1" applyFont="1" applyFill="1"/>
    <xf numFmtId="3" fontId="13" fillId="7" borderId="0" xfId="3" applyNumberFormat="1" applyFont="1" applyFill="1"/>
    <xf numFmtId="10" fontId="13" fillId="0" borderId="0" xfId="3" applyNumberFormat="1" applyFont="1"/>
    <xf numFmtId="0" fontId="13" fillId="0" borderId="0" xfId="3" applyFont="1"/>
    <xf numFmtId="2" fontId="13" fillId="0" borderId="0" xfId="3" applyNumberFormat="1" applyFont="1"/>
    <xf numFmtId="0" fontId="13" fillId="4" borderId="17" xfId="0" applyFont="1" applyFill="1" applyBorder="1" applyAlignment="1">
      <alignment horizontal="center" vertical="center"/>
    </xf>
    <xf numFmtId="0" fontId="13" fillId="4" borderId="4" xfId="0" applyFont="1" applyFill="1" applyBorder="1" applyAlignment="1">
      <alignment horizontal="center" vertical="center" wrapText="1"/>
    </xf>
    <xf numFmtId="0" fontId="0" fillId="0" borderId="0" xfId="0" applyAlignment="1">
      <alignment horizontal="left" vertical="top"/>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xf>
    <xf numFmtId="165" fontId="11" fillId="0" borderId="0" xfId="1" applyNumberFormat="1" applyFont="1" applyFill="1" applyBorder="1" applyAlignment="1">
      <alignment horizontal="center"/>
    </xf>
    <xf numFmtId="165" fontId="13" fillId="0" borderId="0" xfId="1" applyNumberFormat="1" applyFont="1" applyFill="1" applyBorder="1"/>
    <xf numFmtId="0" fontId="13" fillId="0" borderId="0" xfId="0" applyFont="1" applyAlignment="1">
      <alignment horizontal="center" wrapText="1"/>
    </xf>
    <xf numFmtId="165" fontId="13" fillId="0" borderId="0" xfId="1" applyNumberFormat="1" applyFont="1" applyFill="1" applyBorder="1" applyAlignment="1">
      <alignment horizontal="center"/>
    </xf>
    <xf numFmtId="0" fontId="11" fillId="0" borderId="0" xfId="0" applyFont="1" applyAlignment="1">
      <alignment horizontal="center" wrapText="1"/>
    </xf>
    <xf numFmtId="0" fontId="11" fillId="0" borderId="0" xfId="0" applyFont="1" applyAlignment="1">
      <alignment horizontal="right" vertical="center"/>
    </xf>
    <xf numFmtId="0" fontId="13" fillId="0" borderId="0" xfId="0" applyFont="1" applyAlignment="1">
      <alignment horizontal="right"/>
    </xf>
    <xf numFmtId="165" fontId="13" fillId="0" borderId="0" xfId="0" applyNumberFormat="1" applyFont="1" applyAlignment="1">
      <alignment horizontal="right"/>
    </xf>
    <xf numFmtId="165" fontId="13" fillId="0" borderId="0" xfId="1" applyNumberFormat="1" applyFont="1" applyFill="1" applyBorder="1" applyAlignment="1">
      <alignment vertical="center" wrapText="1"/>
    </xf>
    <xf numFmtId="165" fontId="13" fillId="0" borderId="0" xfId="1" applyNumberFormat="1" applyFont="1" applyFill="1" applyBorder="1" applyAlignment="1">
      <alignment vertical="center"/>
    </xf>
    <xf numFmtId="164" fontId="13" fillId="0" borderId="0" xfId="0" applyNumberFormat="1" applyFont="1"/>
    <xf numFmtId="165" fontId="13" fillId="0" borderId="0" xfId="1" applyNumberFormat="1" applyFont="1" applyFill="1" applyBorder="1" applyAlignment="1">
      <alignment horizontal="center" vertical="center"/>
    </xf>
    <xf numFmtId="10" fontId="13" fillId="0" borderId="0" xfId="0" applyNumberFormat="1" applyFont="1" applyAlignment="1">
      <alignment horizontal="center"/>
    </xf>
    <xf numFmtId="164" fontId="11" fillId="0" borderId="0" xfId="0" applyNumberFormat="1" applyFont="1"/>
    <xf numFmtId="0" fontId="11" fillId="0" borderId="0" xfId="0" applyFont="1" applyAlignment="1">
      <alignment horizontal="right" vertical="top" wrapText="1"/>
    </xf>
    <xf numFmtId="167" fontId="11" fillId="2" borderId="32" xfId="0" applyNumberFormat="1" applyFont="1" applyFill="1" applyBorder="1"/>
    <xf numFmtId="167" fontId="13" fillId="6" borderId="18" xfId="0" applyNumberFormat="1" applyFont="1" applyFill="1" applyBorder="1"/>
    <xf numFmtId="167" fontId="13" fillId="6" borderId="19" xfId="0" applyNumberFormat="1" applyFont="1" applyFill="1" applyBorder="1"/>
    <xf numFmtId="167" fontId="13" fillId="6" borderId="20" xfId="0" applyNumberFormat="1" applyFont="1" applyFill="1" applyBorder="1"/>
    <xf numFmtId="167" fontId="11" fillId="5" borderId="20" xfId="0" applyNumberFormat="1" applyFont="1" applyFill="1" applyBorder="1"/>
    <xf numFmtId="167" fontId="13" fillId="0" borderId="0" xfId="0" applyNumberFormat="1" applyFont="1"/>
    <xf numFmtId="168" fontId="13" fillId="6" borderId="20" xfId="0" applyNumberFormat="1" applyFont="1" applyFill="1" applyBorder="1" applyAlignment="1">
      <alignment horizontal="center"/>
    </xf>
    <xf numFmtId="0" fontId="11" fillId="4" borderId="15" xfId="0" applyFont="1" applyFill="1" applyBorder="1" applyAlignment="1">
      <alignment horizontal="center"/>
    </xf>
    <xf numFmtId="0" fontId="11" fillId="4" borderId="33" xfId="0" applyFont="1" applyFill="1" applyBorder="1" applyAlignment="1">
      <alignment horizontal="center"/>
    </xf>
    <xf numFmtId="0" fontId="11" fillId="4" borderId="16" xfId="0" applyFont="1" applyFill="1" applyBorder="1" applyAlignment="1">
      <alignment horizontal="center"/>
    </xf>
    <xf numFmtId="0" fontId="3" fillId="0" borderId="0" xfId="0" applyFont="1" applyAlignment="1">
      <alignment wrapText="1"/>
    </xf>
    <xf numFmtId="0" fontId="16" fillId="0" borderId="11" xfId="0" applyFont="1" applyBorder="1" applyAlignment="1">
      <alignment horizontal="left" wrapText="1" indent="37"/>
    </xf>
    <xf numFmtId="0" fontId="0" fillId="0" borderId="11" xfId="0" applyBorder="1"/>
    <xf numFmtId="0" fontId="16" fillId="0" borderId="11" xfId="0" applyFont="1" applyBorder="1" applyAlignment="1">
      <alignment horizontal="left" wrapText="1" indent="32"/>
    </xf>
    <xf numFmtId="0" fontId="16" fillId="0" borderId="11" xfId="0" applyFont="1" applyBorder="1" applyAlignment="1">
      <alignment horizontal="left" wrapText="1" indent="34"/>
    </xf>
    <xf numFmtId="0" fontId="16" fillId="0" borderId="11" xfId="0" applyFont="1" applyBorder="1" applyAlignment="1">
      <alignment horizontal="left" wrapText="1" indent="24"/>
    </xf>
    <xf numFmtId="9" fontId="13" fillId="0" borderId="11" xfId="0" applyNumberFormat="1" applyFont="1" applyBorder="1"/>
    <xf numFmtId="10" fontId="13" fillId="0" borderId="11" xfId="0" applyNumberFormat="1" applyFont="1" applyBorder="1"/>
    <xf numFmtId="0" fontId="13" fillId="0" borderId="11" xfId="0" applyFont="1" applyBorder="1"/>
    <xf numFmtId="0" fontId="13" fillId="0" borderId="0" xfId="1" applyNumberFormat="1" applyFont="1"/>
    <xf numFmtId="44" fontId="0" fillId="0" borderId="0" xfId="0" applyNumberFormat="1"/>
    <xf numFmtId="0" fontId="17" fillId="7" borderId="0" xfId="0" applyFont="1" applyFill="1" applyAlignment="1">
      <alignment wrapText="1"/>
    </xf>
    <xf numFmtId="0" fontId="16" fillId="7" borderId="37" xfId="0" applyFont="1" applyFill="1" applyBorder="1" applyAlignment="1">
      <alignment wrapText="1"/>
    </xf>
    <xf numFmtId="0" fontId="16" fillId="7" borderId="1" xfId="0" applyFont="1" applyFill="1" applyBorder="1" applyAlignment="1">
      <alignment wrapText="1"/>
    </xf>
    <xf numFmtId="44" fontId="0" fillId="0" borderId="0" xfId="1" applyFont="1"/>
    <xf numFmtId="0" fontId="13" fillId="7" borderId="0" xfId="0" applyFont="1" applyFill="1" applyAlignment="1">
      <alignment horizontal="center" wrapText="1"/>
    </xf>
    <xf numFmtId="0" fontId="13" fillId="7" borderId="7" xfId="0" applyFont="1" applyFill="1" applyBorder="1" applyAlignment="1">
      <alignment horizontal="center" wrapText="1"/>
    </xf>
    <xf numFmtId="0" fontId="13" fillId="8" borderId="7" xfId="0" applyFont="1" applyFill="1" applyBorder="1" applyAlignment="1">
      <alignment horizontal="center" wrapText="1"/>
    </xf>
    <xf numFmtId="10" fontId="0" fillId="0" borderId="0" xfId="0" applyNumberFormat="1"/>
    <xf numFmtId="10" fontId="0" fillId="0" borderId="0" xfId="0" applyNumberFormat="1" applyAlignment="1">
      <alignment horizontal="right"/>
    </xf>
    <xf numFmtId="0" fontId="0" fillId="0" borderId="12" xfId="0" applyBorder="1"/>
    <xf numFmtId="0" fontId="0" fillId="0" borderId="7" xfId="0" applyBorder="1"/>
    <xf numFmtId="0" fontId="0" fillId="0" borderId="42" xfId="0" applyBorder="1"/>
    <xf numFmtId="0" fontId="0" fillId="0" borderId="8" xfId="0" applyBorder="1"/>
    <xf numFmtId="165" fontId="0" fillId="5" borderId="15" xfId="0" applyNumberFormat="1" applyFill="1" applyBorder="1"/>
    <xf numFmtId="165" fontId="0" fillId="5" borderId="33" xfId="0" applyNumberFormat="1" applyFill="1" applyBorder="1"/>
    <xf numFmtId="0" fontId="0" fillId="0" borderId="47" xfId="0" applyBorder="1"/>
    <xf numFmtId="165" fontId="0" fillId="5" borderId="11" xfId="0" applyNumberFormat="1" applyFill="1" applyBorder="1"/>
    <xf numFmtId="0" fontId="13" fillId="0" borderId="15" xfId="0" applyFont="1" applyBorder="1"/>
    <xf numFmtId="0" fontId="13" fillId="0" borderId="11" xfId="1" applyNumberFormat="1" applyFont="1" applyBorder="1"/>
    <xf numFmtId="0" fontId="13" fillId="0" borderId="16" xfId="1" applyNumberFormat="1" applyFont="1" applyBorder="1"/>
    <xf numFmtId="169" fontId="13" fillId="4" borderId="14" xfId="0" applyNumberFormat="1" applyFont="1" applyFill="1" applyBorder="1" applyAlignment="1">
      <alignment horizontal="center" vertical="center"/>
    </xf>
    <xf numFmtId="170" fontId="13" fillId="4" borderId="14" xfId="0" applyNumberFormat="1" applyFont="1" applyFill="1" applyBorder="1" applyAlignment="1">
      <alignment horizontal="center" vertical="center"/>
    </xf>
    <xf numFmtId="171" fontId="13" fillId="7" borderId="0" xfId="3" applyNumberFormat="1" applyFont="1" applyFill="1"/>
    <xf numFmtId="9" fontId="18" fillId="0" borderId="0" xfId="0" applyNumberFormat="1" applyFont="1"/>
    <xf numFmtId="0" fontId="0" fillId="0" borderId="4" xfId="0" applyBorder="1" applyAlignment="1">
      <alignment horizontal="right"/>
    </xf>
    <xf numFmtId="165" fontId="13" fillId="5" borderId="27" xfId="0" applyNumberFormat="1" applyFont="1" applyFill="1" applyBorder="1" applyAlignment="1">
      <alignment horizontal="right"/>
    </xf>
    <xf numFmtId="165" fontId="0" fillId="0" borderId="4" xfId="1" applyNumberFormat="1" applyFont="1" applyBorder="1"/>
    <xf numFmtId="165" fontId="0" fillId="0" borderId="7" xfId="1" applyNumberFormat="1" applyFont="1" applyBorder="1"/>
    <xf numFmtId="0" fontId="13" fillId="7" borderId="37" xfId="0" applyFont="1" applyFill="1" applyBorder="1" applyAlignment="1">
      <alignment horizontal="center" wrapText="1"/>
    </xf>
    <xf numFmtId="0" fontId="13" fillId="8" borderId="49" xfId="0" applyFont="1" applyFill="1" applyBorder="1" applyAlignment="1">
      <alignment horizontal="center" wrapText="1"/>
    </xf>
    <xf numFmtId="165" fontId="0" fillId="0" borderId="55" xfId="1" applyNumberFormat="1" applyFont="1" applyBorder="1"/>
    <xf numFmtId="165" fontId="0" fillId="0" borderId="52" xfId="1" applyNumberFormat="1" applyFont="1" applyBorder="1"/>
    <xf numFmtId="0" fontId="13" fillId="7" borderId="37" xfId="0" applyFont="1" applyFill="1" applyBorder="1"/>
    <xf numFmtId="0" fontId="13" fillId="7" borderId="39" xfId="0" applyFont="1" applyFill="1" applyBorder="1"/>
    <xf numFmtId="0" fontId="13" fillId="7" borderId="1" xfId="0" applyFont="1" applyFill="1" applyBorder="1"/>
    <xf numFmtId="165" fontId="13" fillId="7" borderId="12" xfId="1" applyNumberFormat="1" applyFont="1" applyFill="1" applyBorder="1"/>
    <xf numFmtId="165" fontId="13" fillId="7" borderId="43" xfId="1" applyNumberFormat="1" applyFont="1" applyFill="1" applyBorder="1"/>
    <xf numFmtId="165" fontId="13" fillId="8" borderId="30" xfId="1" applyNumberFormat="1" applyFont="1" applyFill="1" applyBorder="1"/>
    <xf numFmtId="0" fontId="13" fillId="7" borderId="0" xfId="0" applyFont="1" applyFill="1"/>
    <xf numFmtId="0" fontId="13" fillId="7" borderId="40" xfId="0" applyFont="1" applyFill="1" applyBorder="1"/>
    <xf numFmtId="165" fontId="13" fillId="7" borderId="42" xfId="1" applyNumberFormat="1" applyFont="1" applyFill="1" applyBorder="1"/>
    <xf numFmtId="0" fontId="13" fillId="7" borderId="41" xfId="0" applyFont="1" applyFill="1" applyBorder="1"/>
    <xf numFmtId="0" fontId="13" fillId="7" borderId="4" xfId="0" applyFont="1" applyFill="1" applyBorder="1"/>
    <xf numFmtId="165" fontId="13" fillId="7" borderId="0" xfId="1" applyNumberFormat="1" applyFont="1" applyFill="1" applyBorder="1"/>
    <xf numFmtId="165" fontId="13" fillId="7" borderId="5" xfId="1" applyNumberFormat="1" applyFont="1" applyFill="1" applyBorder="1"/>
    <xf numFmtId="165" fontId="13" fillId="7" borderId="17" xfId="1" applyNumberFormat="1" applyFont="1" applyFill="1" applyBorder="1"/>
    <xf numFmtId="165" fontId="13" fillId="7" borderId="0" xfId="1" applyNumberFormat="1" applyFont="1" applyFill="1"/>
    <xf numFmtId="0" fontId="13" fillId="7" borderId="6" xfId="0" applyFont="1" applyFill="1" applyBorder="1"/>
    <xf numFmtId="165" fontId="13" fillId="7" borderId="7" xfId="1" applyNumberFormat="1" applyFont="1" applyFill="1" applyBorder="1"/>
    <xf numFmtId="165" fontId="13" fillId="7" borderId="8" xfId="1" applyNumberFormat="1" applyFont="1" applyFill="1" applyBorder="1"/>
    <xf numFmtId="0" fontId="13" fillId="8" borderId="6" xfId="0" applyFont="1" applyFill="1" applyBorder="1"/>
    <xf numFmtId="165" fontId="13" fillId="8" borderId="7" xfId="1" applyNumberFormat="1" applyFont="1" applyFill="1" applyBorder="1"/>
    <xf numFmtId="165" fontId="13" fillId="8" borderId="8" xfId="1" applyNumberFormat="1" applyFont="1" applyFill="1" applyBorder="1"/>
    <xf numFmtId="0" fontId="13" fillId="7" borderId="1" xfId="0" applyFont="1" applyFill="1" applyBorder="1" applyAlignment="1">
      <alignment wrapText="1"/>
    </xf>
    <xf numFmtId="0" fontId="13" fillId="7" borderId="2" xfId="0" applyFont="1" applyFill="1" applyBorder="1"/>
    <xf numFmtId="165" fontId="13" fillId="7" borderId="24" xfId="1" applyNumberFormat="1" applyFont="1" applyFill="1" applyBorder="1"/>
    <xf numFmtId="165" fontId="13" fillId="7" borderId="13" xfId="0" applyNumberFormat="1" applyFont="1" applyFill="1" applyBorder="1"/>
    <xf numFmtId="0" fontId="13" fillId="7" borderId="25" xfId="0" applyFont="1" applyFill="1" applyBorder="1" applyAlignment="1">
      <alignment wrapText="1"/>
    </xf>
    <xf numFmtId="0" fontId="13" fillId="7" borderId="21" xfId="0" applyFont="1" applyFill="1" applyBorder="1"/>
    <xf numFmtId="165" fontId="13" fillId="7" borderId="32" xfId="1" applyNumberFormat="1" applyFont="1" applyFill="1" applyBorder="1"/>
    <xf numFmtId="165" fontId="13" fillId="7" borderId="15" xfId="1" applyNumberFormat="1" applyFont="1" applyFill="1" applyBorder="1"/>
    <xf numFmtId="0" fontId="13" fillId="7" borderId="0" xfId="0" applyFont="1" applyFill="1" applyAlignment="1">
      <alignment wrapText="1"/>
    </xf>
    <xf numFmtId="165" fontId="13" fillId="8" borderId="27" xfId="0" applyNumberFormat="1" applyFont="1" applyFill="1" applyBorder="1"/>
    <xf numFmtId="165" fontId="13" fillId="7" borderId="57" xfId="1" applyNumberFormat="1" applyFont="1" applyFill="1" applyBorder="1"/>
    <xf numFmtId="0" fontId="13" fillId="7" borderId="33" xfId="0" applyFont="1" applyFill="1" applyBorder="1" applyAlignment="1">
      <alignment wrapText="1"/>
    </xf>
    <xf numFmtId="165" fontId="13" fillId="7" borderId="27" xfId="0" applyNumberFormat="1" applyFont="1" applyFill="1" applyBorder="1"/>
    <xf numFmtId="0" fontId="13" fillId="7" borderId="26" xfId="0" applyFont="1" applyFill="1" applyBorder="1"/>
    <xf numFmtId="165" fontId="13" fillId="7" borderId="37" xfId="1" applyNumberFormat="1" applyFont="1" applyFill="1" applyBorder="1"/>
    <xf numFmtId="165" fontId="13" fillId="7" borderId="39" xfId="1" applyNumberFormat="1" applyFont="1" applyFill="1" applyBorder="1"/>
    <xf numFmtId="165" fontId="13" fillId="7" borderId="27" xfId="1" applyNumberFormat="1" applyFont="1" applyFill="1" applyBorder="1"/>
    <xf numFmtId="0" fontId="13" fillId="7" borderId="31" xfId="0" applyFont="1" applyFill="1" applyBorder="1"/>
    <xf numFmtId="165" fontId="13" fillId="7" borderId="36" xfId="1" applyNumberFormat="1" applyFont="1" applyFill="1" applyBorder="1"/>
    <xf numFmtId="165" fontId="13" fillId="7" borderId="60" xfId="1" applyNumberFormat="1" applyFont="1" applyFill="1" applyBorder="1"/>
    <xf numFmtId="165" fontId="13" fillId="7" borderId="48" xfId="1" applyNumberFormat="1" applyFont="1" applyFill="1" applyBorder="1"/>
    <xf numFmtId="0" fontId="13" fillId="7" borderId="36" xfId="0" applyFont="1" applyFill="1" applyBorder="1" applyAlignment="1">
      <alignment wrapText="1"/>
    </xf>
    <xf numFmtId="165" fontId="13" fillId="7" borderId="60" xfId="0" applyNumberFormat="1" applyFont="1" applyFill="1" applyBorder="1"/>
    <xf numFmtId="0" fontId="13" fillId="7" borderId="61" xfId="1" applyNumberFormat="1" applyFont="1" applyFill="1" applyBorder="1"/>
    <xf numFmtId="165" fontId="13" fillId="8" borderId="7" xfId="0" applyNumberFormat="1" applyFont="1" applyFill="1" applyBorder="1"/>
    <xf numFmtId="165" fontId="13" fillId="8" borderId="58" xfId="1" applyNumberFormat="1" applyFont="1" applyFill="1" applyBorder="1"/>
    <xf numFmtId="0" fontId="18" fillId="2" borderId="10" xfId="0" applyFont="1" applyFill="1" applyBorder="1" applyAlignment="1">
      <alignment wrapText="1"/>
    </xf>
    <xf numFmtId="0" fontId="19" fillId="2" borderId="52" xfId="0" applyFont="1" applyFill="1" applyBorder="1" applyAlignment="1">
      <alignment wrapText="1"/>
    </xf>
    <xf numFmtId="0" fontId="18" fillId="9" borderId="10" xfId="0" applyFont="1" applyFill="1" applyBorder="1" applyAlignment="1">
      <alignment wrapText="1"/>
    </xf>
    <xf numFmtId="9" fontId="18" fillId="9" borderId="24" xfId="2" applyFont="1" applyFill="1" applyBorder="1"/>
    <xf numFmtId="9" fontId="18" fillId="10" borderId="51" xfId="2" applyFont="1" applyFill="1" applyBorder="1"/>
    <xf numFmtId="9" fontId="18" fillId="9" borderId="51" xfId="2" applyFont="1" applyFill="1" applyBorder="1"/>
    <xf numFmtId="9" fontId="18" fillId="10" borderId="47" xfId="2" applyFont="1" applyFill="1" applyBorder="1"/>
    <xf numFmtId="0" fontId="18" fillId="9" borderId="27" xfId="0" applyFont="1" applyFill="1" applyBorder="1" applyAlignment="1">
      <alignment wrapText="1"/>
    </xf>
    <xf numFmtId="9" fontId="18" fillId="9" borderId="16" xfId="2" applyFont="1" applyFill="1" applyBorder="1"/>
    <xf numFmtId="9" fontId="18" fillId="10" borderId="11" xfId="2" applyFont="1" applyFill="1" applyBorder="1"/>
    <xf numFmtId="9" fontId="18" fillId="9" borderId="11" xfId="2" applyFont="1" applyFill="1" applyBorder="1"/>
    <xf numFmtId="9" fontId="18" fillId="10" borderId="27" xfId="2" applyFont="1" applyFill="1" applyBorder="1"/>
    <xf numFmtId="0" fontId="18" fillId="9" borderId="55" xfId="0" applyFont="1" applyFill="1" applyBorder="1" applyAlignment="1">
      <alignment wrapText="1"/>
    </xf>
    <xf numFmtId="9" fontId="18" fillId="9" borderId="17" xfId="2" applyFont="1" applyFill="1" applyBorder="1"/>
    <xf numFmtId="9" fontId="18" fillId="10" borderId="19" xfId="2" applyFont="1" applyFill="1" applyBorder="1"/>
    <xf numFmtId="9" fontId="18" fillId="9" borderId="19" xfId="2" applyFont="1" applyFill="1" applyBorder="1"/>
    <xf numFmtId="10" fontId="18" fillId="9" borderId="17" xfId="2" applyNumberFormat="1" applyFont="1" applyFill="1" applyBorder="1"/>
    <xf numFmtId="10" fontId="18" fillId="9" borderId="19" xfId="2" applyNumberFormat="1" applyFont="1" applyFill="1" applyBorder="1"/>
    <xf numFmtId="10" fontId="18" fillId="10" borderId="19" xfId="2" applyNumberFormat="1" applyFont="1" applyFill="1" applyBorder="1"/>
    <xf numFmtId="166" fontId="18" fillId="10" borderId="19" xfId="2" applyNumberFormat="1" applyFont="1" applyFill="1" applyBorder="1"/>
    <xf numFmtId="166" fontId="18" fillId="9" borderId="19" xfId="2" applyNumberFormat="1" applyFont="1" applyFill="1" applyBorder="1"/>
    <xf numFmtId="166" fontId="18" fillId="10" borderId="47" xfId="2" applyNumberFormat="1" applyFont="1" applyFill="1" applyBorder="1"/>
    <xf numFmtId="166" fontId="18" fillId="10" borderId="11" xfId="2" applyNumberFormat="1" applyFont="1" applyFill="1" applyBorder="1"/>
    <xf numFmtId="166" fontId="18" fillId="10" borderId="27" xfId="2" applyNumberFormat="1" applyFont="1" applyFill="1" applyBorder="1"/>
    <xf numFmtId="0" fontId="18" fillId="9" borderId="52" xfId="0" applyFont="1" applyFill="1" applyBorder="1" applyAlignment="1">
      <alignment wrapText="1"/>
    </xf>
    <xf numFmtId="9" fontId="18" fillId="9" borderId="50" xfId="2" applyFont="1" applyFill="1" applyBorder="1"/>
    <xf numFmtId="9" fontId="18" fillId="9" borderId="38" xfId="2" applyFont="1" applyFill="1" applyBorder="1"/>
    <xf numFmtId="9" fontId="18" fillId="9" borderId="54" xfId="2" applyFont="1" applyFill="1" applyBorder="1"/>
    <xf numFmtId="0" fontId="19" fillId="6" borderId="56" xfId="0" applyFont="1" applyFill="1" applyBorder="1" applyAlignment="1">
      <alignment wrapText="1"/>
    </xf>
    <xf numFmtId="0" fontId="18" fillId="6" borderId="57" xfId="0" applyFont="1" applyFill="1" applyBorder="1" applyAlignment="1">
      <alignment wrapText="1"/>
    </xf>
    <xf numFmtId="167" fontId="18" fillId="6" borderId="14" xfId="0" applyNumberFormat="1" applyFont="1" applyFill="1" applyBorder="1"/>
    <xf numFmtId="165" fontId="18" fillId="6" borderId="20" xfId="1" applyNumberFormat="1" applyFont="1" applyFill="1" applyBorder="1"/>
    <xf numFmtId="165" fontId="18" fillId="6" borderId="29" xfId="1" applyNumberFormat="1" applyFont="1" applyFill="1" applyBorder="1"/>
    <xf numFmtId="0" fontId="18" fillId="6" borderId="55" xfId="0" applyFont="1" applyFill="1" applyBorder="1" applyAlignment="1">
      <alignment wrapText="1"/>
    </xf>
    <xf numFmtId="165" fontId="18" fillId="6" borderId="16" xfId="0" applyNumberFormat="1" applyFont="1" applyFill="1" applyBorder="1"/>
    <xf numFmtId="0" fontId="18" fillId="6" borderId="11" xfId="0" applyFont="1" applyFill="1" applyBorder="1"/>
    <xf numFmtId="165" fontId="18" fillId="6" borderId="11" xfId="1" applyNumberFormat="1" applyFont="1" applyFill="1" applyBorder="1"/>
    <xf numFmtId="165" fontId="18" fillId="6" borderId="34" xfId="1" applyNumberFormat="1" applyFont="1" applyFill="1" applyBorder="1"/>
    <xf numFmtId="0" fontId="18" fillId="6" borderId="58" xfId="0" applyFont="1" applyFill="1" applyBorder="1" applyAlignment="1">
      <alignment wrapText="1"/>
    </xf>
    <xf numFmtId="9" fontId="18" fillId="6" borderId="50" xfId="0" applyNumberFormat="1" applyFont="1" applyFill="1" applyBorder="1"/>
    <xf numFmtId="9" fontId="18" fillId="6" borderId="38" xfId="0" applyNumberFormat="1" applyFont="1" applyFill="1" applyBorder="1"/>
    <xf numFmtId="9" fontId="18" fillId="6" borderId="38" xfId="2" applyFont="1" applyFill="1" applyBorder="1"/>
    <xf numFmtId="9" fontId="18" fillId="6" borderId="8" xfId="2" applyFont="1" applyFill="1" applyBorder="1"/>
    <xf numFmtId="166" fontId="18" fillId="9" borderId="17" xfId="2" applyNumberFormat="1" applyFont="1" applyFill="1" applyBorder="1"/>
    <xf numFmtId="10" fontId="18" fillId="9" borderId="50" xfId="2" applyNumberFormat="1" applyFont="1" applyFill="1" applyBorder="1"/>
    <xf numFmtId="10" fontId="18" fillId="9" borderId="38" xfId="2" applyNumberFormat="1" applyFont="1" applyFill="1" applyBorder="1"/>
    <xf numFmtId="10" fontId="18" fillId="9" borderId="54" xfId="2" applyNumberFormat="1" applyFont="1" applyFill="1" applyBorder="1"/>
    <xf numFmtId="165" fontId="18" fillId="6" borderId="14" xfId="1" applyNumberFormat="1" applyFont="1" applyFill="1" applyBorder="1"/>
    <xf numFmtId="165" fontId="13" fillId="8" borderId="40" xfId="1" applyNumberFormat="1" applyFont="1" applyFill="1" applyBorder="1"/>
    <xf numFmtId="0" fontId="13" fillId="0" borderId="3" xfId="0" applyFont="1" applyBorder="1"/>
    <xf numFmtId="0" fontId="13" fillId="7" borderId="12" xfId="0" applyFont="1" applyFill="1" applyBorder="1"/>
    <xf numFmtId="0" fontId="13" fillId="7" borderId="62" xfId="0" applyFont="1" applyFill="1" applyBorder="1"/>
    <xf numFmtId="0" fontId="13" fillId="7" borderId="34" xfId="0" applyFont="1" applyFill="1" applyBorder="1"/>
    <xf numFmtId="165" fontId="13" fillId="8" borderId="54" xfId="1" applyNumberFormat="1" applyFont="1" applyFill="1" applyBorder="1"/>
    <xf numFmtId="0" fontId="13" fillId="7" borderId="59" xfId="0" applyFont="1" applyFill="1" applyBorder="1"/>
    <xf numFmtId="165" fontId="13" fillId="7" borderId="41" xfId="1" applyNumberFormat="1" applyFont="1" applyFill="1" applyBorder="1"/>
    <xf numFmtId="165" fontId="13" fillId="7" borderId="30" xfId="1" applyNumberFormat="1" applyFont="1" applyFill="1" applyBorder="1"/>
    <xf numFmtId="165" fontId="13" fillId="7" borderId="35" xfId="1" applyNumberFormat="1" applyFont="1" applyFill="1" applyBorder="1"/>
    <xf numFmtId="0" fontId="13" fillId="8" borderId="21" xfId="0" applyFont="1" applyFill="1" applyBorder="1" applyAlignment="1">
      <alignment horizontal="center"/>
    </xf>
    <xf numFmtId="0" fontId="13" fillId="7" borderId="11" xfId="0" applyFont="1" applyFill="1" applyBorder="1" applyAlignment="1">
      <alignment horizontal="center"/>
    </xf>
    <xf numFmtId="0" fontId="13" fillId="0" borderId="11" xfId="0" applyFont="1" applyBorder="1" applyAlignment="1">
      <alignment horizontal="right" vertical="top" wrapText="1"/>
    </xf>
    <xf numFmtId="0" fontId="13" fillId="0" borderId="11" xfId="0" applyFont="1" applyBorder="1" applyAlignment="1">
      <alignment horizontal="right" wrapText="1"/>
    </xf>
    <xf numFmtId="166" fontId="13" fillId="0" borderId="11" xfId="2" applyNumberFormat="1" applyFont="1" applyBorder="1"/>
    <xf numFmtId="0" fontId="13" fillId="0" borderId="11" xfId="0" applyFont="1" applyBorder="1" applyAlignment="1">
      <alignment horizontal="left" indent="24"/>
    </xf>
    <xf numFmtId="0" fontId="13" fillId="0" borderId="27" xfId="1" applyNumberFormat="1" applyFont="1" applyBorder="1"/>
    <xf numFmtId="165" fontId="0" fillId="0" borderId="0" xfId="1" applyNumberFormat="1" applyFont="1" applyBorder="1" applyAlignment="1">
      <alignment horizontal="right"/>
    </xf>
    <xf numFmtId="165" fontId="3" fillId="0" borderId="0" xfId="1" applyNumberFormat="1" applyFont="1" applyBorder="1" applyAlignment="1">
      <alignment horizontal="center"/>
    </xf>
    <xf numFmtId="0" fontId="0" fillId="0" borderId="0" xfId="0" applyAlignment="1">
      <alignment horizontal="center"/>
    </xf>
    <xf numFmtId="165" fontId="0" fillId="0" borderId="0" xfId="1" applyNumberFormat="1" applyFont="1" applyBorder="1" applyAlignment="1">
      <alignment horizontal="center"/>
    </xf>
    <xf numFmtId="0" fontId="3" fillId="0" borderId="0" xfId="0" applyFont="1" applyAlignment="1">
      <alignment horizontal="left" wrapText="1"/>
    </xf>
    <xf numFmtId="0" fontId="10" fillId="2" borderId="1" xfId="0" applyFont="1" applyFill="1" applyBorder="1" applyAlignment="1">
      <alignment wrapText="1"/>
    </xf>
    <xf numFmtId="0" fontId="3" fillId="0" borderId="4" xfId="0" applyFont="1" applyBorder="1" applyAlignment="1">
      <alignment horizontal="right" wrapText="1"/>
    </xf>
    <xf numFmtId="0" fontId="0" fillId="11" borderId="11" xfId="0" applyFill="1" applyBorder="1" applyAlignment="1">
      <alignment horizontal="center"/>
    </xf>
    <xf numFmtId="0" fontId="0" fillId="11" borderId="11" xfId="0" applyFill="1" applyBorder="1"/>
    <xf numFmtId="0" fontId="0" fillId="6" borderId="20" xfId="0" applyFill="1" applyBorder="1" applyAlignment="1">
      <alignment horizontal="center"/>
    </xf>
    <xf numFmtId="0" fontId="0" fillId="6" borderId="21" xfId="0" applyFill="1" applyBorder="1" applyAlignment="1">
      <alignment horizontal="center"/>
    </xf>
    <xf numFmtId="165" fontId="0" fillId="6" borderId="21" xfId="1" applyNumberFormat="1" applyFont="1" applyFill="1" applyBorder="1" applyAlignment="1">
      <alignment horizontal="center"/>
    </xf>
    <xf numFmtId="165" fontId="0" fillId="2" borderId="11" xfId="1" applyNumberFormat="1" applyFont="1" applyFill="1" applyBorder="1" applyAlignment="1">
      <alignment horizontal="right"/>
    </xf>
    <xf numFmtId="0" fontId="20" fillId="0" borderId="1" xfId="0" applyFont="1" applyBorder="1" applyAlignment="1">
      <alignment horizontal="lef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6" xfId="0" applyFont="1" applyBorder="1" applyAlignment="1">
      <alignment horizontal="right" wrapText="1"/>
    </xf>
    <xf numFmtId="0" fontId="3" fillId="11" borderId="30" xfId="0" applyFont="1" applyFill="1" applyBorder="1" applyAlignment="1">
      <alignment horizontal="right" wrapText="1"/>
    </xf>
    <xf numFmtId="0" fontId="0" fillId="11" borderId="27" xfId="0" applyFill="1" applyBorder="1" applyAlignment="1">
      <alignment horizontal="center"/>
    </xf>
    <xf numFmtId="165" fontId="0" fillId="11" borderId="27" xfId="1" applyNumberFormat="1" applyFont="1" applyFill="1" applyBorder="1"/>
    <xf numFmtId="165" fontId="0" fillId="2" borderId="27" xfId="1" applyNumberFormat="1" applyFont="1" applyFill="1" applyBorder="1" applyAlignment="1">
      <alignment horizontal="center"/>
    </xf>
    <xf numFmtId="165" fontId="0" fillId="2" borderId="28" xfId="1" applyNumberFormat="1" applyFont="1" applyFill="1" applyBorder="1" applyAlignment="1">
      <alignment horizontal="center"/>
    </xf>
    <xf numFmtId="165" fontId="0" fillId="2" borderId="29" xfId="1" applyNumberFormat="1" applyFont="1" applyFill="1" applyBorder="1" applyAlignment="1">
      <alignment horizontal="center"/>
    </xf>
    <xf numFmtId="0" fontId="0" fillId="2" borderId="30" xfId="0" applyFill="1" applyBorder="1" applyAlignment="1">
      <alignment horizontal="right" wrapText="1"/>
    </xf>
    <xf numFmtId="165" fontId="0" fillId="2" borderId="54" xfId="1" applyNumberFormat="1" applyFont="1" applyFill="1" applyBorder="1" applyAlignment="1">
      <alignment horizontal="center"/>
    </xf>
    <xf numFmtId="0" fontId="3" fillId="10" borderId="44" xfId="0" applyFont="1" applyFill="1" applyBorder="1" applyAlignment="1">
      <alignment horizontal="center" wrapText="1"/>
    </xf>
    <xf numFmtId="9" fontId="0" fillId="0" borderId="0" xfId="0" applyNumberFormat="1"/>
    <xf numFmtId="9" fontId="0" fillId="0" borderId="7" xfId="0" applyNumberFormat="1" applyBorder="1"/>
    <xf numFmtId="44" fontId="0" fillId="11" borderId="11" xfId="0" applyNumberFormat="1" applyFill="1" applyBorder="1"/>
    <xf numFmtId="9" fontId="0" fillId="11" borderId="11" xfId="0" applyNumberFormat="1" applyFill="1" applyBorder="1"/>
    <xf numFmtId="44" fontId="0" fillId="11" borderId="11" xfId="1" applyFont="1" applyFill="1" applyBorder="1"/>
    <xf numFmtId="43" fontId="0" fillId="11" borderId="11" xfId="0" applyNumberFormat="1" applyFill="1" applyBorder="1"/>
    <xf numFmtId="43" fontId="0" fillId="11" borderId="11" xfId="1" applyNumberFormat="1" applyFont="1" applyFill="1" applyBorder="1"/>
    <xf numFmtId="43" fontId="0" fillId="6" borderId="53" xfId="0" applyNumberFormat="1" applyFill="1" applyBorder="1"/>
    <xf numFmtId="43" fontId="0" fillId="6" borderId="34" xfId="0" applyNumberFormat="1" applyFill="1" applyBorder="1"/>
    <xf numFmtId="43" fontId="0" fillId="6" borderId="60" xfId="0" applyNumberFormat="1" applyFill="1" applyBorder="1"/>
    <xf numFmtId="172" fontId="0" fillId="2" borderId="28" xfId="1" applyNumberFormat="1" applyFont="1" applyFill="1" applyBorder="1" applyAlignment="1">
      <alignment horizontal="center"/>
    </xf>
    <xf numFmtId="10" fontId="0" fillId="2" borderId="29" xfId="1" applyNumberFormat="1" applyFont="1" applyFill="1" applyBorder="1" applyAlignment="1">
      <alignment horizontal="center"/>
    </xf>
    <xf numFmtId="44" fontId="0" fillId="2" borderId="28" xfId="1" applyFont="1" applyFill="1" applyBorder="1" applyAlignment="1">
      <alignment horizontal="center"/>
    </xf>
    <xf numFmtId="44" fontId="0" fillId="2" borderId="27" xfId="1" applyFont="1" applyFill="1" applyBorder="1"/>
    <xf numFmtId="172" fontId="0" fillId="2" borderId="21" xfId="1" applyNumberFormat="1" applyFont="1" applyFill="1" applyBorder="1"/>
    <xf numFmtId="172" fontId="0" fillId="2" borderId="38" xfId="1" applyNumberFormat="1" applyFont="1" applyFill="1" applyBorder="1"/>
    <xf numFmtId="171" fontId="0" fillId="2" borderId="11" xfId="0" applyNumberFormat="1" applyFill="1" applyBorder="1" applyAlignment="1">
      <alignment horizontal="right"/>
    </xf>
    <xf numFmtId="43" fontId="3" fillId="10" borderId="46" xfId="0" applyNumberFormat="1" applyFont="1" applyFill="1" applyBorder="1" applyAlignment="1">
      <alignment wrapText="1"/>
    </xf>
    <xf numFmtId="44" fontId="0" fillId="0" borderId="0" xfId="1" applyFont="1" applyAlignment="1">
      <alignment wrapText="1"/>
    </xf>
    <xf numFmtId="173" fontId="0" fillId="0" borderId="0" xfId="0" applyNumberFormat="1"/>
    <xf numFmtId="44" fontId="0" fillId="6" borderId="53" xfId="0" applyNumberFormat="1" applyFill="1" applyBorder="1"/>
    <xf numFmtId="44" fontId="0" fillId="6" borderId="34" xfId="0" applyNumberFormat="1" applyFill="1" applyBorder="1"/>
    <xf numFmtId="44" fontId="0" fillId="6" borderId="60" xfId="0" applyNumberFormat="1" applyFill="1" applyBorder="1"/>
    <xf numFmtId="172" fontId="0" fillId="2" borderId="29" xfId="1" applyNumberFormat="1" applyFont="1" applyFill="1" applyBorder="1" applyAlignment="1">
      <alignment horizontal="center"/>
    </xf>
    <xf numFmtId="172" fontId="0" fillId="2" borderId="27" xfId="1" applyNumberFormat="1" applyFont="1" applyFill="1" applyBorder="1"/>
    <xf numFmtId="43" fontId="0" fillId="2" borderId="38" xfId="1" applyNumberFormat="1" applyFont="1" applyFill="1" applyBorder="1"/>
    <xf numFmtId="44" fontId="3" fillId="10" borderId="46" xfId="0" applyNumberFormat="1" applyFont="1" applyFill="1" applyBorder="1" applyAlignment="1">
      <alignment wrapText="1"/>
    </xf>
    <xf numFmtId="0" fontId="3" fillId="0" borderId="0" xfId="0" applyFont="1" applyAlignment="1">
      <alignment horizontal="center" vertical="center" wrapText="1"/>
    </xf>
    <xf numFmtId="0" fontId="0" fillId="0" borderId="0" xfId="0" applyAlignment="1">
      <alignment vertical="center" wrapText="1"/>
    </xf>
    <xf numFmtId="165" fontId="0" fillId="0" borderId="0" xfId="1" applyNumberFormat="1" applyFont="1" applyAlignment="1">
      <alignment wrapText="1"/>
    </xf>
    <xf numFmtId="0" fontId="16" fillId="0" borderId="0" xfId="0" applyFont="1" applyAlignment="1">
      <alignment wrapText="1"/>
    </xf>
    <xf numFmtId="0" fontId="11" fillId="7" borderId="0" xfId="0" applyFont="1" applyFill="1" applyAlignment="1">
      <alignment horizontal="center" vertical="center" wrapText="1"/>
    </xf>
    <xf numFmtId="0" fontId="11" fillId="12" borderId="0" xfId="0" applyFont="1" applyFill="1" applyAlignment="1">
      <alignment vertical="center" wrapText="1"/>
    </xf>
    <xf numFmtId="0" fontId="13" fillId="12" borderId="0" xfId="0" applyFont="1" applyFill="1" applyAlignment="1">
      <alignment vertical="center" wrapText="1"/>
    </xf>
    <xf numFmtId="10" fontId="0" fillId="0" borderId="7" xfId="0" applyNumberFormat="1" applyBorder="1"/>
    <xf numFmtId="10" fontId="0" fillId="11" borderId="11" xfId="0" applyNumberFormat="1" applyFill="1" applyBorder="1"/>
    <xf numFmtId="0" fontId="10" fillId="2" borderId="4" xfId="0" applyFont="1" applyFill="1" applyBorder="1" applyAlignment="1">
      <alignment wrapText="1"/>
    </xf>
    <xf numFmtId="0" fontId="0" fillId="0" borderId="11" xfId="0" applyBorder="1" applyAlignment="1">
      <alignment vertical="top"/>
    </xf>
    <xf numFmtId="0" fontId="22" fillId="13" borderId="11" xfId="0" applyFont="1" applyFill="1" applyBorder="1"/>
    <xf numFmtId="0" fontId="21" fillId="13" borderId="18" xfId="0" applyFont="1" applyFill="1" applyBorder="1" applyAlignment="1">
      <alignment wrapText="1"/>
    </xf>
    <xf numFmtId="0" fontId="21" fillId="13" borderId="20" xfId="0" applyFont="1" applyFill="1" applyBorder="1" applyAlignment="1">
      <alignment wrapText="1"/>
    </xf>
    <xf numFmtId="0" fontId="21" fillId="13" borderId="18" xfId="0" applyFont="1" applyFill="1" applyBorder="1" applyAlignment="1">
      <alignment vertical="center" wrapText="1"/>
    </xf>
    <xf numFmtId="0" fontId="21" fillId="13" borderId="20" xfId="0" applyFont="1" applyFill="1" applyBorder="1" applyAlignment="1">
      <alignment vertical="center" wrapText="1"/>
    </xf>
    <xf numFmtId="0" fontId="22" fillId="13" borderId="11" xfId="0" applyFont="1" applyFill="1" applyBorder="1" applyAlignment="1">
      <alignment vertical="center"/>
    </xf>
    <xf numFmtId="0" fontId="26" fillId="0" borderId="0" xfId="0" applyFont="1"/>
    <xf numFmtId="0" fontId="27" fillId="0" borderId="0" xfId="5" applyFont="1" applyAlignment="1">
      <alignment horizontal="left" vertical="center" indent="1"/>
    </xf>
    <xf numFmtId="0" fontId="17" fillId="0" borderId="0" xfId="0" applyFont="1" applyAlignment="1">
      <alignment horizontal="left" vertical="center" indent="1"/>
    </xf>
    <xf numFmtId="0" fontId="26" fillId="0" borderId="0" xfId="0" applyFont="1" applyAlignment="1">
      <alignment horizontal="left" vertical="center" indent="1"/>
    </xf>
    <xf numFmtId="0" fontId="0" fillId="6" borderId="0" xfId="0" applyFill="1" applyAlignment="1">
      <alignment horizontal="left" wrapText="1"/>
    </xf>
    <xf numFmtId="0" fontId="0" fillId="6" borderId="0" xfId="0" applyFill="1" applyAlignment="1">
      <alignment horizontal="left"/>
    </xf>
    <xf numFmtId="0" fontId="0" fillId="2" borderId="0" xfId="0" applyFill="1" applyAlignment="1">
      <alignment horizontal="left" wrapText="1"/>
    </xf>
    <xf numFmtId="0" fontId="0" fillId="2" borderId="0" xfId="0" applyFill="1" applyAlignment="1">
      <alignment horizontal="left"/>
    </xf>
    <xf numFmtId="0" fontId="3" fillId="14" borderId="0" xfId="0" applyFont="1" applyFill="1" applyAlignment="1">
      <alignment wrapText="1"/>
    </xf>
    <xf numFmtId="0" fontId="3" fillId="14" borderId="0" xfId="0" applyFont="1" applyFill="1" applyAlignment="1">
      <alignment horizontal="left"/>
    </xf>
    <xf numFmtId="0" fontId="3" fillId="6" borderId="11" xfId="0" applyFont="1" applyFill="1" applyBorder="1" applyAlignment="1">
      <alignment horizontal="left" wrapText="1"/>
    </xf>
    <xf numFmtId="0" fontId="3" fillId="6" borderId="11" xfId="0" applyFont="1" applyFill="1" applyBorder="1" applyAlignment="1">
      <alignment horizontal="left"/>
    </xf>
    <xf numFmtId="0" fontId="0" fillId="6" borderId="11" xfId="0" applyFill="1" applyBorder="1" applyAlignment="1">
      <alignment horizontal="left" wrapText="1"/>
    </xf>
    <xf numFmtId="0" fontId="0" fillId="6" borderId="11" xfId="0" applyFill="1" applyBorder="1" applyAlignment="1">
      <alignment horizontal="left"/>
    </xf>
    <xf numFmtId="0" fontId="28" fillId="4" borderId="0" xfId="0" applyFont="1" applyFill="1"/>
    <xf numFmtId="0" fontId="25" fillId="0" borderId="0" xfId="5" applyAlignment="1">
      <alignment horizontal="right"/>
    </xf>
    <xf numFmtId="3" fontId="13" fillId="6" borderId="20" xfId="0" applyNumberFormat="1" applyFont="1" applyFill="1" applyBorder="1"/>
    <xf numFmtId="0" fontId="29" fillId="15" borderId="1" xfId="0" applyFont="1" applyFill="1" applyBorder="1"/>
    <xf numFmtId="0" fontId="0" fillId="0" borderId="3" xfId="0" applyBorder="1" applyAlignment="1">
      <alignment horizontal="center"/>
    </xf>
    <xf numFmtId="0" fontId="30" fillId="0" borderId="4" xfId="0" applyFont="1" applyBorder="1"/>
    <xf numFmtId="0" fontId="3" fillId="0" borderId="4" xfId="0" applyFont="1" applyBorder="1"/>
    <xf numFmtId="0" fontId="29" fillId="0" borderId="0" xfId="0" applyFont="1" applyAlignment="1">
      <alignment horizontal="center"/>
    </xf>
    <xf numFmtId="0" fontId="31" fillId="0" borderId="4" xfId="0" applyFont="1" applyBorder="1"/>
    <xf numFmtId="0" fontId="31" fillId="0" borderId="0" xfId="0" applyFont="1"/>
    <xf numFmtId="0" fontId="3" fillId="0" borderId="0" xfId="0" applyFont="1" applyAlignment="1">
      <alignment horizontal="center"/>
    </xf>
    <xf numFmtId="0" fontId="0" fillId="0" borderId="6" xfId="0" applyBorder="1"/>
    <xf numFmtId="0" fontId="3" fillId="5" borderId="11" xfId="0" applyFont="1" applyFill="1" applyBorder="1" applyAlignment="1">
      <alignment horizontal="center"/>
    </xf>
    <xf numFmtId="0" fontId="3" fillId="14" borderId="1" xfId="0" applyFont="1" applyFill="1" applyBorder="1"/>
    <xf numFmtId="0" fontId="3" fillId="14" borderId="2" xfId="0" applyFont="1" applyFill="1" applyBorder="1"/>
    <xf numFmtId="0" fontId="3" fillId="0" borderId="4" xfId="0" applyFont="1" applyBorder="1" applyAlignment="1">
      <alignment horizontal="left"/>
    </xf>
    <xf numFmtId="0" fontId="3" fillId="0" borderId="4" xfId="0" applyFont="1" applyBorder="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0" fillId="0" borderId="7" xfId="0" applyBorder="1" applyAlignment="1">
      <alignment horizontal="center"/>
    </xf>
    <xf numFmtId="0" fontId="0" fillId="0" borderId="2" xfId="0" applyBorder="1" applyAlignment="1">
      <alignment horizontal="center"/>
    </xf>
    <xf numFmtId="0" fontId="3" fillId="14" borderId="2" xfId="0" applyFont="1" applyFill="1" applyBorder="1" applyAlignment="1">
      <alignment horizontal="center"/>
    </xf>
    <xf numFmtId="0" fontId="3" fillId="5" borderId="15" xfId="0" applyFont="1" applyFill="1" applyBorder="1" applyAlignment="1">
      <alignment horizontal="center"/>
    </xf>
    <xf numFmtId="0" fontId="3" fillId="6" borderId="35" xfId="0" applyFont="1" applyFill="1" applyBorder="1"/>
    <xf numFmtId="0" fontId="3" fillId="14" borderId="10" xfId="0" applyFont="1" applyFill="1" applyBorder="1" applyAlignment="1">
      <alignment horizontal="center"/>
    </xf>
    <xf numFmtId="0" fontId="3" fillId="14" borderId="57" xfId="0" applyFont="1" applyFill="1" applyBorder="1" applyAlignment="1">
      <alignment horizontal="center"/>
    </xf>
    <xf numFmtId="0" fontId="3" fillId="5" borderId="20" xfId="0" applyFont="1" applyFill="1" applyBorder="1" applyAlignment="1">
      <alignment horizontal="center"/>
    </xf>
    <xf numFmtId="0" fontId="3" fillId="5" borderId="13" xfId="0" applyFont="1" applyFill="1" applyBorder="1" applyAlignment="1">
      <alignment horizontal="center"/>
    </xf>
    <xf numFmtId="0" fontId="3" fillId="14" borderId="65" xfId="0" applyFont="1" applyFill="1" applyBorder="1" applyAlignment="1">
      <alignment horizontal="center"/>
    </xf>
    <xf numFmtId="0" fontId="3" fillId="14" borderId="44" xfId="0" applyFont="1" applyFill="1" applyBorder="1"/>
    <xf numFmtId="0" fontId="3" fillId="14" borderId="45" xfId="0" applyFont="1" applyFill="1" applyBorder="1"/>
    <xf numFmtId="0" fontId="3" fillId="14" borderId="45" xfId="0" applyFont="1" applyFill="1" applyBorder="1" applyAlignment="1">
      <alignment horizontal="center"/>
    </xf>
    <xf numFmtId="0" fontId="3" fillId="14" borderId="9" xfId="0" applyFont="1" applyFill="1" applyBorder="1" applyAlignment="1">
      <alignment horizontal="center"/>
    </xf>
    <xf numFmtId="0" fontId="29" fillId="0" borderId="0" xfId="0" applyFont="1" applyAlignment="1">
      <alignment horizontal="left"/>
    </xf>
    <xf numFmtId="0" fontId="33" fillId="0" borderId="0" xfId="0" applyFont="1"/>
    <xf numFmtId="44" fontId="0" fillId="0" borderId="0" xfId="1" applyFont="1" applyAlignment="1">
      <alignment horizontal="center"/>
    </xf>
    <xf numFmtId="165" fontId="0" fillId="0" borderId="0" xfId="1" applyNumberFormat="1" applyFont="1" applyAlignment="1">
      <alignment horizontal="center"/>
    </xf>
    <xf numFmtId="165" fontId="0" fillId="0" borderId="7" xfId="1" applyNumberFormat="1" applyFont="1" applyBorder="1" applyAlignment="1">
      <alignment horizontal="center"/>
    </xf>
    <xf numFmtId="0" fontId="35" fillId="0" borderId="4" xfId="0" applyFont="1" applyBorder="1"/>
    <xf numFmtId="165" fontId="0" fillId="0" borderId="0" xfId="0" applyNumberFormat="1" applyAlignment="1">
      <alignment horizontal="right"/>
    </xf>
    <xf numFmtId="165" fontId="0" fillId="0" borderId="0" xfId="0" applyNumberFormat="1" applyAlignment="1">
      <alignment horizontal="center"/>
    </xf>
    <xf numFmtId="0" fontId="13" fillId="0" borderId="4" xfId="0" applyFont="1" applyBorder="1" applyAlignment="1">
      <alignment horizontal="right" wrapText="1"/>
    </xf>
    <xf numFmtId="165" fontId="0" fillId="0" borderId="0" xfId="0" applyNumberFormat="1"/>
    <xf numFmtId="165" fontId="0" fillId="0" borderId="7" xfId="0" applyNumberFormat="1" applyBorder="1" applyAlignment="1">
      <alignment horizontal="center"/>
    </xf>
    <xf numFmtId="165" fontId="0" fillId="0" borderId="55" xfId="0" applyNumberFormat="1" applyBorder="1" applyAlignment="1">
      <alignment horizontal="center"/>
    </xf>
    <xf numFmtId="165" fontId="0" fillId="0" borderId="55" xfId="1" applyNumberFormat="1" applyFont="1" applyBorder="1" applyAlignment="1">
      <alignment horizontal="center"/>
    </xf>
    <xf numFmtId="165" fontId="0" fillId="0" borderId="52" xfId="0" applyNumberFormat="1" applyBorder="1" applyAlignment="1">
      <alignment horizontal="center"/>
    </xf>
    <xf numFmtId="165" fontId="3" fillId="6" borderId="58" xfId="0" applyNumberFormat="1" applyFont="1" applyFill="1" applyBorder="1" applyAlignment="1">
      <alignment horizontal="center"/>
    </xf>
    <xf numFmtId="165" fontId="0" fillId="0" borderId="10" xfId="1" applyNumberFormat="1" applyFont="1" applyBorder="1" applyAlignment="1">
      <alignment horizontal="center"/>
    </xf>
    <xf numFmtId="165" fontId="0" fillId="0" borderId="52" xfId="1" applyNumberFormat="1" applyFont="1" applyBorder="1" applyAlignment="1">
      <alignment horizontal="center"/>
    </xf>
    <xf numFmtId="165" fontId="0" fillId="0" borderId="5" xfId="1" applyNumberFormat="1" applyFont="1" applyBorder="1" applyAlignment="1">
      <alignment horizontal="center"/>
    </xf>
    <xf numFmtId="165" fontId="0" fillId="0" borderId="8" xfId="1" applyNumberFormat="1" applyFont="1" applyBorder="1" applyAlignment="1">
      <alignment horizontal="center"/>
    </xf>
    <xf numFmtId="0" fontId="1" fillId="16" borderId="11" xfId="3" applyFill="1" applyBorder="1"/>
    <xf numFmtId="0" fontId="36" fillId="7" borderId="11" xfId="3" applyFont="1" applyFill="1" applyBorder="1"/>
    <xf numFmtId="0" fontId="1" fillId="17" borderId="11" xfId="3" applyFill="1" applyBorder="1"/>
    <xf numFmtId="165" fontId="13" fillId="0" borderId="17" xfId="1" applyNumberFormat="1" applyFont="1" applyFill="1" applyBorder="1"/>
    <xf numFmtId="44" fontId="0" fillId="8" borderId="0" xfId="0" applyNumberFormat="1" applyFill="1"/>
    <xf numFmtId="44" fontId="0" fillId="7" borderId="0" xfId="0" applyNumberFormat="1" applyFill="1"/>
    <xf numFmtId="0" fontId="0" fillId="7" borderId="0" xfId="0" applyFill="1"/>
    <xf numFmtId="0" fontId="16" fillId="8" borderId="0" xfId="0" applyFont="1" applyFill="1"/>
    <xf numFmtId="9" fontId="0" fillId="7" borderId="8" xfId="0" applyNumberFormat="1" applyFill="1" applyBorder="1"/>
    <xf numFmtId="10" fontId="0" fillId="7" borderId="7" xfId="0" applyNumberFormat="1" applyFill="1" applyBorder="1"/>
    <xf numFmtId="9" fontId="0" fillId="7" borderId="7" xfId="0" applyNumberFormat="1" applyFill="1" applyBorder="1"/>
    <xf numFmtId="0" fontId="0" fillId="7" borderId="7" xfId="0" applyFill="1" applyBorder="1"/>
    <xf numFmtId="0" fontId="0" fillId="7" borderId="6" xfId="0" applyFill="1" applyBorder="1"/>
    <xf numFmtId="9" fontId="0" fillId="7" borderId="5" xfId="0" applyNumberFormat="1" applyFill="1" applyBorder="1"/>
    <xf numFmtId="9" fontId="0" fillId="7" borderId="0" xfId="0" applyNumberFormat="1" applyFill="1"/>
    <xf numFmtId="0" fontId="0" fillId="7" borderId="4" xfId="0" applyFill="1" applyBorder="1"/>
    <xf numFmtId="10" fontId="0" fillId="7" borderId="5" xfId="0" applyNumberFormat="1" applyFill="1" applyBorder="1"/>
    <xf numFmtId="10" fontId="0" fillId="7" borderId="0" xfId="0" applyNumberFormat="1" applyFill="1"/>
    <xf numFmtId="0" fontId="0" fillId="7" borderId="5" xfId="0" applyFill="1" applyBorder="1"/>
    <xf numFmtId="0" fontId="13" fillId="9" borderId="3" xfId="0" applyFont="1" applyFill="1" applyBorder="1"/>
    <xf numFmtId="0" fontId="13" fillId="9" borderId="2" xfId="0" applyFont="1" applyFill="1" applyBorder="1"/>
    <xf numFmtId="0" fontId="13" fillId="9" borderId="1" xfId="0" applyFont="1" applyFill="1" applyBorder="1"/>
    <xf numFmtId="165" fontId="0" fillId="7" borderId="8" xfId="0" applyNumberFormat="1" applyFill="1" applyBorder="1" applyAlignment="1">
      <alignment horizontal="center"/>
    </xf>
    <xf numFmtId="165" fontId="0" fillId="7" borderId="7" xfId="0" applyNumberFormat="1" applyFill="1" applyBorder="1" applyAlignment="1">
      <alignment horizontal="center"/>
    </xf>
    <xf numFmtId="44" fontId="0" fillId="7" borderId="5" xfId="0" applyNumberFormat="1" applyFill="1" applyBorder="1"/>
    <xf numFmtId="165" fontId="0" fillId="7" borderId="0" xfId="0" applyNumberFormat="1" applyFill="1" applyAlignment="1">
      <alignment horizontal="center"/>
    </xf>
    <xf numFmtId="165" fontId="0" fillId="7" borderId="0" xfId="0" applyNumberFormat="1" applyFill="1"/>
    <xf numFmtId="165" fontId="0" fillId="7" borderId="0" xfId="1" applyNumberFormat="1" applyFont="1" applyFill="1" applyBorder="1" applyAlignment="1">
      <alignment horizontal="center"/>
    </xf>
    <xf numFmtId="44" fontId="0" fillId="7" borderId="8" xfId="0" applyNumberFormat="1" applyFill="1" applyBorder="1"/>
    <xf numFmtId="44" fontId="0" fillId="7" borderId="7" xfId="0" applyNumberFormat="1" applyFill="1" applyBorder="1"/>
    <xf numFmtId="165" fontId="0" fillId="7" borderId="7" xfId="0" applyNumberFormat="1" applyFill="1" applyBorder="1"/>
    <xf numFmtId="165" fontId="0" fillId="7" borderId="7" xfId="1" applyNumberFormat="1" applyFont="1" applyFill="1" applyBorder="1" applyAlignment="1">
      <alignment horizontal="center"/>
    </xf>
    <xf numFmtId="0" fontId="0" fillId="9" borderId="3" xfId="0" applyFill="1" applyBorder="1"/>
    <xf numFmtId="0" fontId="0" fillId="9" borderId="2" xfId="0" applyFill="1" applyBorder="1"/>
    <xf numFmtId="0" fontId="0" fillId="9" borderId="1" xfId="0" applyFill="1" applyBorder="1"/>
    <xf numFmtId="0" fontId="0" fillId="7" borderId="8" xfId="0" applyFill="1" applyBorder="1"/>
    <xf numFmtId="165" fontId="2" fillId="7" borderId="0" xfId="1" applyNumberFormat="1" applyFont="1" applyFill="1" applyBorder="1"/>
    <xf numFmtId="0" fontId="0" fillId="8" borderId="3" xfId="0" applyFill="1" applyBorder="1"/>
    <xf numFmtId="0" fontId="0" fillId="8" borderId="2" xfId="0" applyFill="1" applyBorder="1"/>
    <xf numFmtId="9" fontId="0" fillId="8" borderId="2" xfId="0" applyNumberFormat="1" applyFill="1" applyBorder="1"/>
    <xf numFmtId="0" fontId="13" fillId="8" borderId="1" xfId="0" applyFont="1" applyFill="1" applyBorder="1"/>
    <xf numFmtId="0" fontId="0" fillId="7" borderId="52" xfId="0" applyFill="1" applyBorder="1"/>
    <xf numFmtId="9" fontId="0" fillId="7" borderId="4" xfId="0" applyNumberFormat="1" applyFill="1" applyBorder="1"/>
    <xf numFmtId="9" fontId="0" fillId="7" borderId="55" xfId="0" applyNumberFormat="1" applyFill="1" applyBorder="1"/>
    <xf numFmtId="0" fontId="0" fillId="7" borderId="55" xfId="0" applyFill="1" applyBorder="1"/>
    <xf numFmtId="0" fontId="0" fillId="12" borderId="55" xfId="0" applyFill="1" applyBorder="1"/>
    <xf numFmtId="0" fontId="0" fillId="8" borderId="8" xfId="0" applyFill="1" applyBorder="1"/>
    <xf numFmtId="0" fontId="0" fillId="8" borderId="7" xfId="0" applyFill="1" applyBorder="1"/>
    <xf numFmtId="0" fontId="0" fillId="8" borderId="8" xfId="0" applyFill="1" applyBorder="1" applyAlignment="1">
      <alignment horizontal="center"/>
    </xf>
    <xf numFmtId="0" fontId="0" fillId="8" borderId="6" xfId="0" applyFill="1" applyBorder="1" applyAlignment="1">
      <alignment horizontal="center"/>
    </xf>
    <xf numFmtId="0" fontId="13" fillId="8" borderId="52" xfId="0" applyFont="1" applyFill="1" applyBorder="1"/>
    <xf numFmtId="0" fontId="17" fillId="8" borderId="3" xfId="0" applyFont="1" applyFill="1" applyBorder="1"/>
    <xf numFmtId="0" fontId="17" fillId="8" borderId="2" xfId="0" applyFont="1" applyFill="1" applyBorder="1"/>
    <xf numFmtId="0" fontId="17" fillId="8" borderId="3" xfId="0" applyFont="1" applyFill="1" applyBorder="1" applyAlignment="1">
      <alignment horizontal="center"/>
    </xf>
    <xf numFmtId="0" fontId="17" fillId="8" borderId="1" xfId="0" applyFont="1" applyFill="1" applyBorder="1" applyAlignment="1">
      <alignment horizontal="center"/>
    </xf>
    <xf numFmtId="0" fontId="17" fillId="8" borderId="10" xfId="0" applyFont="1" applyFill="1" applyBorder="1"/>
    <xf numFmtId="9" fontId="0" fillId="0" borderId="50" xfId="0" applyNumberFormat="1" applyBorder="1"/>
    <xf numFmtId="9" fontId="0" fillId="0" borderId="42" xfId="0" applyNumberFormat="1" applyBorder="1"/>
    <xf numFmtId="0" fontId="3" fillId="0" borderId="34" xfId="0" applyFont="1" applyBorder="1" applyAlignment="1">
      <alignment horizontal="center"/>
    </xf>
    <xf numFmtId="0" fontId="3" fillId="0" borderId="33"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7" fillId="0" borderId="4" xfId="0" applyFont="1" applyBorder="1"/>
    <xf numFmtId="10" fontId="0" fillId="0" borderId="20" xfId="0" applyNumberFormat="1" applyBorder="1"/>
    <xf numFmtId="0" fontId="0" fillId="0" borderId="25" xfId="0" applyBorder="1"/>
    <xf numFmtId="9" fontId="0" fillId="0" borderId="19" xfId="0" applyNumberFormat="1" applyBorder="1"/>
    <xf numFmtId="10" fontId="0" fillId="0" borderId="19" xfId="0" applyNumberFormat="1" applyBorder="1"/>
    <xf numFmtId="9" fontId="0" fillId="0" borderId="18" xfId="0" applyNumberFormat="1" applyBorder="1"/>
    <xf numFmtId="0" fontId="0" fillId="0" borderId="39" xfId="0" applyBorder="1"/>
    <xf numFmtId="0" fontId="0" fillId="0" borderId="37" xfId="0" applyBorder="1"/>
    <xf numFmtId="0" fontId="3" fillId="0" borderId="37" xfId="0" applyFont="1" applyBorder="1" applyAlignment="1">
      <alignment horizontal="center"/>
    </xf>
    <xf numFmtId="0" fontId="37" fillId="0" borderId="26" xfId="0" applyFont="1" applyBorder="1"/>
    <xf numFmtId="0" fontId="0" fillId="0" borderId="62" xfId="0" applyBorder="1"/>
    <xf numFmtId="0" fontId="0" fillId="0" borderId="13" xfId="0" applyBorder="1"/>
    <xf numFmtId="0" fontId="0" fillId="0" borderId="20" xfId="0" applyBorder="1"/>
    <xf numFmtId="0" fontId="0" fillId="0" borderId="14" xfId="0" applyBorder="1"/>
    <xf numFmtId="0" fontId="0" fillId="0" borderId="66" xfId="0" applyBorder="1"/>
    <xf numFmtId="10" fontId="0" fillId="0" borderId="17" xfId="0" applyNumberFormat="1" applyBorder="1"/>
    <xf numFmtId="9" fontId="0" fillId="0" borderId="67" xfId="0" applyNumberFormat="1" applyBorder="1"/>
    <xf numFmtId="0" fontId="0" fillId="0" borderId="68" xfId="0" applyBorder="1"/>
    <xf numFmtId="10" fontId="0" fillId="0" borderId="67" xfId="0" applyNumberFormat="1" applyBorder="1"/>
    <xf numFmtId="10" fontId="0" fillId="0" borderId="69" xfId="0" applyNumberFormat="1" applyBorder="1"/>
    <xf numFmtId="10" fontId="0" fillId="0" borderId="70" xfId="0" applyNumberFormat="1" applyBorder="1"/>
    <xf numFmtId="0" fontId="37" fillId="0" borderId="41" xfId="0" applyFont="1" applyBorder="1"/>
    <xf numFmtId="9" fontId="0" fillId="0" borderId="17" xfId="0" applyNumberFormat="1" applyBorder="1"/>
    <xf numFmtId="9" fontId="0" fillId="0" borderId="5" xfId="0" applyNumberFormat="1" applyBorder="1"/>
    <xf numFmtId="0" fontId="37" fillId="0" borderId="68" xfId="0" applyFont="1" applyBorder="1"/>
    <xf numFmtId="0" fontId="3" fillId="0" borderId="68" xfId="0" applyFont="1" applyBorder="1"/>
    <xf numFmtId="0" fontId="29" fillId="15" borderId="63" xfId="0" applyFont="1" applyFill="1" applyBorder="1"/>
    <xf numFmtId="0" fontId="38" fillId="0" borderId="0" xfId="0" applyFont="1"/>
    <xf numFmtId="0" fontId="0" fillId="8" borderId="0" xfId="0" applyFill="1"/>
    <xf numFmtId="0" fontId="0" fillId="9" borderId="0" xfId="0" applyFill="1"/>
    <xf numFmtId="0" fontId="0" fillId="9" borderId="5" xfId="0" applyFill="1" applyBorder="1"/>
    <xf numFmtId="0" fontId="0" fillId="9" borderId="4" xfId="0" applyFill="1" applyBorder="1"/>
    <xf numFmtId="0" fontId="13" fillId="8" borderId="0" xfId="0" applyFont="1" applyFill="1"/>
    <xf numFmtId="9" fontId="13" fillId="8" borderId="0" xfId="0" applyNumberFormat="1" applyFont="1" applyFill="1"/>
    <xf numFmtId="0" fontId="13" fillId="8" borderId="4" xfId="0" applyFont="1" applyFill="1" applyBorder="1"/>
    <xf numFmtId="0" fontId="39" fillId="7" borderId="6" xfId="0" applyFont="1" applyFill="1" applyBorder="1"/>
    <xf numFmtId="0" fontId="39" fillId="7" borderId="52" xfId="0" applyFont="1" applyFill="1" applyBorder="1"/>
    <xf numFmtId="9" fontId="39" fillId="7" borderId="4" xfId="0" applyNumberFormat="1" applyFont="1" applyFill="1" applyBorder="1"/>
    <xf numFmtId="9" fontId="39" fillId="7" borderId="55" xfId="0" applyNumberFormat="1" applyFont="1" applyFill="1" applyBorder="1"/>
    <xf numFmtId="0" fontId="39" fillId="7" borderId="55" xfId="0" applyFont="1" applyFill="1" applyBorder="1"/>
    <xf numFmtId="0" fontId="0" fillId="9" borderId="55" xfId="0" applyFill="1" applyBorder="1"/>
    <xf numFmtId="0" fontId="13" fillId="8" borderId="8" xfId="0" applyFont="1" applyFill="1" applyBorder="1"/>
    <xf numFmtId="0" fontId="13" fillId="8" borderId="7" xfId="0" applyFont="1" applyFill="1" applyBorder="1"/>
    <xf numFmtId="0" fontId="13" fillId="8" borderId="8" xfId="0" applyFont="1" applyFill="1" applyBorder="1" applyAlignment="1">
      <alignment horizontal="center"/>
    </xf>
    <xf numFmtId="0" fontId="13" fillId="8" borderId="6" xfId="0" applyFont="1" applyFill="1" applyBorder="1" applyAlignment="1">
      <alignment horizontal="center"/>
    </xf>
    <xf numFmtId="0" fontId="3" fillId="6" borderId="10" xfId="0" applyFont="1" applyFill="1" applyBorder="1" applyAlignment="1">
      <alignment horizontal="center" vertical="center" wrapText="1"/>
    </xf>
    <xf numFmtId="0" fontId="3" fillId="6" borderId="55" xfId="0" applyFont="1" applyFill="1" applyBorder="1" applyAlignment="1">
      <alignment horizontal="center" vertical="center" wrapText="1"/>
    </xf>
    <xf numFmtId="0" fontId="3" fillId="6" borderId="52" xfId="0" applyFont="1" applyFill="1" applyBorder="1" applyAlignment="1">
      <alignment horizontal="center" vertical="center" wrapText="1"/>
    </xf>
    <xf numFmtId="0" fontId="10" fillId="2" borderId="2" xfId="0" applyFont="1" applyFill="1" applyBorder="1" applyAlignment="1">
      <alignment horizontal="center" wrapText="1"/>
    </xf>
    <xf numFmtId="0" fontId="10" fillId="2" borderId="3" xfId="0" applyFont="1" applyFill="1" applyBorder="1" applyAlignment="1">
      <alignment horizontal="center" wrapText="1"/>
    </xf>
    <xf numFmtId="0" fontId="3" fillId="0" borderId="0" xfId="0" applyFont="1" applyAlignment="1">
      <alignment horizontal="left"/>
    </xf>
    <xf numFmtId="0" fontId="3" fillId="0" borderId="5" xfId="0" applyFont="1" applyBorder="1" applyAlignment="1">
      <alignment horizontal="left"/>
    </xf>
    <xf numFmtId="165" fontId="0" fillId="2" borderId="11" xfId="1" applyNumberFormat="1" applyFont="1" applyFill="1" applyBorder="1" applyAlignment="1">
      <alignment horizontal="right" vertical="center"/>
    </xf>
    <xf numFmtId="0" fontId="3" fillId="0" borderId="7" xfId="0" applyFont="1" applyBorder="1" applyAlignment="1">
      <alignment horizontal="left"/>
    </xf>
    <xf numFmtId="0" fontId="3" fillId="0" borderId="8" xfId="0" applyFont="1" applyBorder="1" applyAlignment="1">
      <alignment horizontal="left"/>
    </xf>
    <xf numFmtId="165" fontId="3" fillId="0" borderId="4" xfId="1" applyNumberFormat="1" applyFont="1" applyBorder="1" applyAlignment="1">
      <alignment horizontal="center"/>
    </xf>
    <xf numFmtId="165" fontId="3" fillId="0" borderId="0" xfId="1" applyNumberFormat="1" applyFont="1" applyBorder="1" applyAlignment="1">
      <alignment horizontal="center"/>
    </xf>
    <xf numFmtId="165" fontId="3" fillId="0" borderId="5" xfId="1" applyNumberFormat="1" applyFont="1" applyBorder="1" applyAlignment="1">
      <alignment horizontal="center"/>
    </xf>
    <xf numFmtId="0" fontId="3" fillId="0" borderId="0" xfId="0" applyFont="1" applyAlignment="1">
      <alignment horizontal="left" wrapText="1"/>
    </xf>
    <xf numFmtId="0" fontId="11" fillId="6" borderId="26"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xf>
    <xf numFmtId="0" fontId="10" fillId="2" borderId="45" xfId="0" applyFont="1" applyFill="1" applyBorder="1" applyAlignment="1">
      <alignment horizontal="center"/>
    </xf>
    <xf numFmtId="0" fontId="10" fillId="2" borderId="46" xfId="0" applyFont="1" applyFill="1" applyBorder="1" applyAlignment="1">
      <alignment horizontal="center"/>
    </xf>
    <xf numFmtId="0" fontId="10" fillId="2" borderId="44" xfId="0" applyFont="1" applyFill="1" applyBorder="1" applyAlignment="1">
      <alignment horizontal="center"/>
    </xf>
    <xf numFmtId="0" fontId="10" fillId="0" borderId="0" xfId="0" applyFont="1" applyAlignment="1">
      <alignment horizontal="center"/>
    </xf>
    <xf numFmtId="0" fontId="11" fillId="4" borderId="15" xfId="0" applyFont="1" applyFill="1" applyBorder="1" applyAlignment="1">
      <alignment horizontal="center"/>
    </xf>
    <xf numFmtId="0" fontId="11" fillId="4" borderId="33" xfId="0" applyFont="1" applyFill="1" applyBorder="1" applyAlignment="1">
      <alignment horizontal="center"/>
    </xf>
    <xf numFmtId="0" fontId="11" fillId="4" borderId="16" xfId="0" applyFont="1" applyFill="1" applyBorder="1" applyAlignment="1">
      <alignment horizontal="center"/>
    </xf>
    <xf numFmtId="9" fontId="18" fillId="6" borderId="43" xfId="2" applyFont="1" applyFill="1" applyBorder="1"/>
    <xf numFmtId="9" fontId="18" fillId="6" borderId="53" xfId="2" applyFont="1" applyFill="1" applyBorder="1"/>
    <xf numFmtId="0" fontId="18" fillId="2" borderId="9" xfId="0" applyFont="1" applyFill="1" applyBorder="1" applyAlignment="1">
      <alignment horizontal="center"/>
    </xf>
    <xf numFmtId="0" fontId="18" fillId="2" borderId="10" xfId="0" applyFont="1" applyFill="1" applyBorder="1" applyAlignment="1">
      <alignment horizontal="center"/>
    </xf>
    <xf numFmtId="0" fontId="18" fillId="2" borderId="9" xfId="0" applyFont="1" applyFill="1" applyBorder="1" applyAlignment="1">
      <alignment horizontal="center" wrapText="1"/>
    </xf>
    <xf numFmtId="0" fontId="18" fillId="2" borderId="10" xfId="0" applyFont="1" applyFill="1" applyBorder="1" applyAlignment="1">
      <alignment horizontal="center" wrapText="1"/>
    </xf>
    <xf numFmtId="165" fontId="18" fillId="2" borderId="9" xfId="1" applyNumberFormat="1" applyFont="1" applyFill="1" applyBorder="1" applyAlignment="1">
      <alignment horizontal="center" wrapText="1"/>
    </xf>
    <xf numFmtId="165" fontId="18" fillId="2" borderId="10" xfId="1" applyNumberFormat="1" applyFont="1" applyFill="1" applyBorder="1" applyAlignment="1">
      <alignment horizontal="center" wrapText="1"/>
    </xf>
    <xf numFmtId="0" fontId="0" fillId="0" borderId="1" xfId="0"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32" fillId="0" borderId="44" xfId="0" applyFont="1" applyBorder="1"/>
    <xf numFmtId="0" fontId="32" fillId="0" borderId="45" xfId="0" applyFont="1" applyBorder="1"/>
    <xf numFmtId="0" fontId="32" fillId="0" borderId="46" xfId="0" applyFont="1" applyBorder="1"/>
    <xf numFmtId="0" fontId="0" fillId="0" borderId="40" xfId="0" applyBorder="1"/>
    <xf numFmtId="0" fontId="0" fillId="0" borderId="21" xfId="0" applyBorder="1"/>
    <xf numFmtId="0" fontId="0" fillId="0" borderId="28" xfId="0" applyBorder="1"/>
    <xf numFmtId="0" fontId="34" fillId="2" borderId="0" xfId="0" applyFont="1" applyFill="1"/>
    <xf numFmtId="0" fontId="3" fillId="14" borderId="1" xfId="0" applyFont="1" applyFill="1" applyBorder="1"/>
    <xf numFmtId="0" fontId="3" fillId="14" borderId="2" xfId="0" applyFont="1" applyFill="1" applyBorder="1"/>
    <xf numFmtId="0" fontId="3" fillId="14" borderId="3" xfId="0" applyFont="1" applyFill="1" applyBorder="1"/>
    <xf numFmtId="0" fontId="0" fillId="0" borderId="63" xfId="0" applyBorder="1"/>
    <xf numFmtId="0" fontId="0" fillId="0" borderId="51" xfId="0" applyBorder="1"/>
    <xf numFmtId="0" fontId="0" fillId="0" borderId="64" xfId="0" applyBorder="1"/>
    <xf numFmtId="0" fontId="0" fillId="0" borderId="30" xfId="0" applyBorder="1"/>
    <xf numFmtId="0" fontId="0" fillId="0" borderId="11" xfId="0" applyBorder="1"/>
    <xf numFmtId="0" fontId="0" fillId="0" borderId="27" xfId="0" applyBorder="1"/>
    <xf numFmtId="0" fontId="3" fillId="0" borderId="15" xfId="0" applyFont="1" applyBorder="1" applyAlignment="1">
      <alignment horizontal="center"/>
    </xf>
    <xf numFmtId="0" fontId="3" fillId="0" borderId="33" xfId="0" applyFont="1" applyBorder="1" applyAlignment="1">
      <alignment horizontal="center"/>
    </xf>
    <xf numFmtId="0" fontId="3" fillId="0" borderId="34" xfId="0" applyFont="1" applyBorder="1" applyAlignment="1">
      <alignment horizontal="center"/>
    </xf>
    <xf numFmtId="0" fontId="3" fillId="0" borderId="72" xfId="0" applyFont="1" applyBorder="1" applyAlignment="1">
      <alignment vertical="top"/>
    </xf>
    <xf numFmtId="0" fontId="3" fillId="0" borderId="20" xfId="0" applyFont="1" applyBorder="1" applyAlignment="1">
      <alignment vertical="top"/>
    </xf>
    <xf numFmtId="0" fontId="3" fillId="0" borderId="71" xfId="0" applyFont="1" applyBorder="1" applyAlignment="1">
      <alignment horizontal="center" vertical="top"/>
    </xf>
    <xf numFmtId="0" fontId="3" fillId="0" borderId="22" xfId="0" applyFont="1" applyBorder="1" applyAlignment="1">
      <alignment horizontal="center" vertical="top"/>
    </xf>
    <xf numFmtId="0" fontId="3" fillId="0" borderId="13" xfId="0" applyFont="1" applyBorder="1" applyAlignment="1">
      <alignment horizontal="center" vertical="top"/>
    </xf>
    <xf numFmtId="0" fontId="3" fillId="0" borderId="14"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12" xfId="0" applyFont="1" applyBorder="1" applyAlignment="1">
      <alignment horizontal="center" vertical="top"/>
    </xf>
    <xf numFmtId="0" fontId="3" fillId="0" borderId="62" xfId="0" applyFont="1" applyBorder="1" applyAlignment="1">
      <alignment horizontal="center" vertical="top"/>
    </xf>
    <xf numFmtId="0" fontId="3" fillId="0" borderId="16" xfId="0" applyFont="1" applyBorder="1" applyAlignment="1">
      <alignment horizontal="center"/>
    </xf>
    <xf numFmtId="0" fontId="10" fillId="2" borderId="15" xfId="0" applyFont="1" applyFill="1" applyBorder="1" applyAlignment="1">
      <alignment horizontal="center"/>
    </xf>
    <xf numFmtId="0" fontId="10" fillId="2" borderId="33" xfId="0" applyFont="1" applyFill="1" applyBorder="1" applyAlignment="1">
      <alignment horizontal="center"/>
    </xf>
    <xf numFmtId="0" fontId="10" fillId="2" borderId="16" xfId="0" applyFont="1" applyFill="1" applyBorder="1" applyAlignment="1">
      <alignment horizontal="center"/>
    </xf>
    <xf numFmtId="0" fontId="21" fillId="13" borderId="18" xfId="0" applyFont="1" applyFill="1" applyBorder="1" applyAlignment="1">
      <alignment horizontal="left" vertical="center" wrapText="1"/>
    </xf>
    <xf numFmtId="0" fontId="21" fillId="13" borderId="20" xfId="0" applyFont="1" applyFill="1" applyBorder="1" applyAlignment="1">
      <alignment horizontal="left" vertical="center" wrapText="1"/>
    </xf>
    <xf numFmtId="10" fontId="1" fillId="17" borderId="11" xfId="3" applyNumberFormat="1" applyFill="1" applyBorder="1"/>
    <xf numFmtId="0" fontId="9" fillId="2" borderId="46" xfId="3" applyFont="1" applyFill="1" applyBorder="1" applyAlignment="1">
      <alignment horizontal="center"/>
    </xf>
    <xf numFmtId="0" fontId="9" fillId="2" borderId="45" xfId="3" applyFont="1" applyFill="1" applyBorder="1" applyAlignment="1">
      <alignment horizontal="center"/>
    </xf>
    <xf numFmtId="0" fontId="9" fillId="2" borderId="44" xfId="3" applyFont="1" applyFill="1" applyBorder="1" applyAlignment="1">
      <alignment horizontal="center"/>
    </xf>
    <xf numFmtId="0" fontId="9" fillId="2" borderId="9" xfId="3" applyFont="1" applyFill="1" applyBorder="1" applyAlignment="1">
      <alignment wrapText="1"/>
    </xf>
  </cellXfs>
  <cellStyles count="6">
    <cellStyle name="Currency" xfId="1" builtinId="4"/>
    <cellStyle name="Hyperlink" xfId="5" builtinId="8"/>
    <cellStyle name="Normal" xfId="0" builtinId="0"/>
    <cellStyle name="Normal 2" xfId="3" xr:uid="{DBE0D739-A197-4A9F-B3E4-2E59C04CACBE}"/>
    <cellStyle name="Percent" xfId="2" builtinId="5"/>
    <cellStyle name="Percent 2" xfId="4" xr:uid="{784559E7-DDEC-4BB3-81C8-7C76CE1BEB82}"/>
  </cellStyles>
  <dxfs count="0"/>
  <tableStyles count="0" defaultTableStyle="TableStyleMedium2" defaultPivotStyle="PivotStyleLight16"/>
  <colors>
    <mruColors>
      <color rgb="FFEAE4A8"/>
      <color rgb="FFE3E7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4598277</xdr:colOff>
      <xdr:row>12</xdr:row>
      <xdr:rowOff>26276</xdr:rowOff>
    </xdr:from>
    <xdr:to>
      <xdr:col>1</xdr:col>
      <xdr:colOff>14301963</xdr:colOff>
      <xdr:row>42</xdr:row>
      <xdr:rowOff>26276</xdr:rowOff>
    </xdr:to>
    <xdr:pic>
      <xdr:nvPicPr>
        <xdr:cNvPr id="5" name="Picture 4">
          <a:extLst>
            <a:ext uri="{FF2B5EF4-FFF2-40B4-BE49-F238E27FC236}">
              <a16:creationId xmlns:a16="http://schemas.microsoft.com/office/drawing/2014/main" id="{251D125D-EEE0-50FE-DB0D-5C5AE627A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7932" y="5386552"/>
          <a:ext cx="9703686" cy="63850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152400</xdr:rowOff>
    </xdr:from>
    <xdr:to>
      <xdr:col>1</xdr:col>
      <xdr:colOff>3899885</xdr:colOff>
      <xdr:row>42</xdr:row>
      <xdr:rowOff>0</xdr:rowOff>
    </xdr:to>
    <xdr:pic>
      <xdr:nvPicPr>
        <xdr:cNvPr id="7" name="Picture 6">
          <a:extLst>
            <a:ext uri="{FF2B5EF4-FFF2-40B4-BE49-F238E27FC236}">
              <a16:creationId xmlns:a16="http://schemas.microsoft.com/office/drawing/2014/main" id="{09BFC521-B0AC-94C4-B326-6031A35004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836920"/>
          <a:ext cx="8624285" cy="5593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98A98-6540-E14F-8470-4382C21B21B5}">
  <dimension ref="A1:U256"/>
  <sheetViews>
    <sheetView topLeftCell="A241" zoomScaleNormal="100" workbookViewId="0">
      <selection activeCell="D45" sqref="D45"/>
    </sheetView>
  </sheetViews>
  <sheetFormatPr baseColWidth="10" defaultColWidth="10.6640625" defaultRowHeight="16" x14ac:dyDescent="0.2"/>
  <cols>
    <col min="1" max="1" width="43.5" style="1" customWidth="1"/>
    <col min="2" max="2" width="43.83203125" customWidth="1"/>
    <col min="3" max="3" width="16.83203125" customWidth="1"/>
    <col min="4" max="4" width="14.33203125" style="2" bestFit="1" customWidth="1"/>
    <col min="5" max="7" width="16.5" style="2" customWidth="1"/>
    <col min="8" max="8" width="18.5" style="2" customWidth="1"/>
    <col min="9" max="9" width="73" style="91" customWidth="1"/>
    <col min="10" max="10" width="57.83203125" customWidth="1"/>
    <col min="11" max="11" width="10" bestFit="1" customWidth="1"/>
    <col min="14" max="14" width="13.1640625" bestFit="1" customWidth="1"/>
    <col min="15" max="18" width="10.83203125" bestFit="1" customWidth="1"/>
    <col min="19" max="20" width="13.33203125" bestFit="1" customWidth="1"/>
  </cols>
  <sheetData>
    <row r="1" spans="1:15" ht="31" thickBot="1" x14ac:dyDescent="0.4">
      <c r="A1" s="46" t="s">
        <v>147</v>
      </c>
      <c r="B1" s="593" t="s">
        <v>184</v>
      </c>
      <c r="C1" s="593"/>
      <c r="D1" s="593"/>
      <c r="E1" s="593"/>
      <c r="F1" s="593"/>
      <c r="G1" s="593"/>
      <c r="H1" s="594"/>
      <c r="I1" s="211"/>
    </row>
    <row r="2" spans="1:15" ht="43.5" customHeight="1" x14ac:dyDescent="0.3">
      <c r="A2" s="50" t="s">
        <v>136</v>
      </c>
      <c r="B2" s="16"/>
      <c r="C2" s="16"/>
      <c r="D2" s="95"/>
      <c r="E2" s="96" t="s">
        <v>5</v>
      </c>
      <c r="F2" s="95"/>
      <c r="G2" s="97"/>
      <c r="H2" s="98"/>
      <c r="I2" s="92"/>
      <c r="J2" s="3"/>
      <c r="K2" s="3"/>
      <c r="L2" s="3"/>
      <c r="M2" s="3"/>
      <c r="N2" s="3"/>
      <c r="O2" s="3"/>
    </row>
    <row r="3" spans="1:15" ht="40" x14ac:dyDescent="0.25">
      <c r="A3" s="8"/>
      <c r="B3" s="16"/>
      <c r="C3" s="16"/>
      <c r="D3" s="52" t="s">
        <v>143</v>
      </c>
      <c r="E3" s="52" t="s">
        <v>144</v>
      </c>
      <c r="F3" s="52" t="s">
        <v>145</v>
      </c>
      <c r="G3" s="52" t="s">
        <v>6</v>
      </c>
      <c r="H3" s="53" t="s">
        <v>146</v>
      </c>
      <c r="I3" s="92"/>
      <c r="J3" s="3"/>
      <c r="K3" s="3"/>
      <c r="L3" s="3"/>
      <c r="M3" s="3"/>
      <c r="N3" s="3"/>
      <c r="O3" s="3"/>
    </row>
    <row r="4" spans="1:15" ht="20" x14ac:dyDescent="0.25">
      <c r="A4" s="19" t="s">
        <v>26</v>
      </c>
      <c r="B4" s="16"/>
      <c r="C4" s="16"/>
      <c r="D4" s="17"/>
      <c r="E4" s="17"/>
      <c r="F4" s="17"/>
      <c r="G4" s="17"/>
      <c r="H4" s="18"/>
      <c r="K4" s="3"/>
      <c r="L4" s="3"/>
      <c r="M4" s="3"/>
      <c r="N4" s="3"/>
      <c r="O4" s="3"/>
    </row>
    <row r="5" spans="1:15" ht="20" x14ac:dyDescent="0.25">
      <c r="A5" s="20" t="s">
        <v>7</v>
      </c>
      <c r="B5" s="21"/>
      <c r="C5" s="21"/>
      <c r="D5" s="22">
        <v>642637</v>
      </c>
      <c r="E5" s="22">
        <v>605881</v>
      </c>
      <c r="F5" s="22">
        <v>567762</v>
      </c>
      <c r="G5" s="22">
        <v>555233</v>
      </c>
      <c r="H5" s="23">
        <v>519926</v>
      </c>
    </row>
    <row r="6" spans="1:15" ht="20" x14ac:dyDescent="0.25">
      <c r="A6" s="20" t="s">
        <v>8</v>
      </c>
      <c r="B6" s="21"/>
      <c r="C6" s="21"/>
      <c r="D6" s="22">
        <v>5488</v>
      </c>
      <c r="E6" s="22">
        <v>5408</v>
      </c>
      <c r="F6" s="22">
        <v>4992</v>
      </c>
      <c r="G6" s="22">
        <v>3918</v>
      </c>
      <c r="H6" s="23">
        <v>4038</v>
      </c>
    </row>
    <row r="7" spans="1:15" s="4" customFormat="1" ht="20" x14ac:dyDescent="0.25">
      <c r="A7" s="24" t="s">
        <v>9</v>
      </c>
      <c r="B7" s="25"/>
      <c r="C7" s="25"/>
      <c r="D7" s="26">
        <f t="shared" ref="D7:G7" si="0">D5+D6</f>
        <v>648125</v>
      </c>
      <c r="E7" s="26">
        <f t="shared" si="0"/>
        <v>611289</v>
      </c>
      <c r="F7" s="26">
        <f t="shared" si="0"/>
        <v>572754</v>
      </c>
      <c r="G7" s="26">
        <f t="shared" si="0"/>
        <v>559151</v>
      </c>
      <c r="H7" s="27">
        <f>H5+H6</f>
        <v>523964</v>
      </c>
      <c r="I7" s="93"/>
    </row>
    <row r="8" spans="1:15" ht="20" x14ac:dyDescent="0.25">
      <c r="A8" s="19" t="s">
        <v>27</v>
      </c>
      <c r="B8" s="21"/>
      <c r="C8" s="21"/>
      <c r="D8" s="22"/>
      <c r="E8" s="22"/>
      <c r="F8" s="22"/>
      <c r="G8" s="22"/>
      <c r="H8" s="23"/>
      <c r="I8" s="454">
        <f>SUM(D9:D10)</f>
        <v>621113</v>
      </c>
    </row>
    <row r="9" spans="1:15" ht="20" x14ac:dyDescent="0.25">
      <c r="A9" s="20" t="s">
        <v>10</v>
      </c>
      <c r="B9" s="21"/>
      <c r="C9" s="21"/>
      <c r="D9" s="22">
        <v>490142</v>
      </c>
      <c r="E9" s="22">
        <v>463721</v>
      </c>
      <c r="F9" s="22">
        <v>429000</v>
      </c>
      <c r="G9" s="22">
        <v>420315</v>
      </c>
      <c r="H9" s="23">
        <v>394605</v>
      </c>
      <c r="J9" s="6"/>
      <c r="K9" s="6"/>
    </row>
    <row r="10" spans="1:15" ht="40" x14ac:dyDescent="0.25">
      <c r="A10" s="20" t="s">
        <v>11</v>
      </c>
      <c r="B10" s="21"/>
      <c r="C10" s="21"/>
      <c r="D10" s="22">
        <v>130971</v>
      </c>
      <c r="E10" s="22">
        <v>127140</v>
      </c>
      <c r="F10" s="22">
        <v>117812</v>
      </c>
      <c r="G10" s="22">
        <v>116288</v>
      </c>
      <c r="H10" s="23">
        <v>108791</v>
      </c>
    </row>
    <row r="11" spans="1:15" s="4" customFormat="1" ht="20" x14ac:dyDescent="0.25">
      <c r="A11" s="24" t="s">
        <v>12</v>
      </c>
      <c r="B11" s="25"/>
      <c r="C11" s="25"/>
      <c r="D11" s="26">
        <f>D7 -(D9+D10)</f>
        <v>27012</v>
      </c>
      <c r="E11" s="26">
        <f>E7 -(E9+E10)</f>
        <v>20428</v>
      </c>
      <c r="F11" s="26">
        <f t="shared" ref="F11:G11" si="1">F7 -(F9+F10)</f>
        <v>25942</v>
      </c>
      <c r="G11" s="26">
        <f t="shared" si="1"/>
        <v>22548</v>
      </c>
      <c r="H11" s="27">
        <f>H7 -(H9+H10)</f>
        <v>20568</v>
      </c>
      <c r="I11" s="93"/>
    </row>
    <row r="12" spans="1:15" ht="20" x14ac:dyDescent="0.25">
      <c r="A12" s="19" t="s">
        <v>28</v>
      </c>
      <c r="B12" s="21"/>
      <c r="C12" s="21"/>
      <c r="D12" s="22"/>
      <c r="E12" s="22"/>
      <c r="F12" s="22"/>
      <c r="G12" s="22"/>
      <c r="H12" s="23"/>
    </row>
    <row r="13" spans="1:15" ht="20" x14ac:dyDescent="0.25">
      <c r="A13" s="20" t="s">
        <v>13</v>
      </c>
      <c r="B13" s="21"/>
      <c r="C13" s="21"/>
      <c r="D13" s="22">
        <v>2259</v>
      </c>
      <c r="E13" s="22">
        <v>1787</v>
      </c>
      <c r="F13" s="22">
        <v>1674</v>
      </c>
      <c r="G13" s="22">
        <v>1976</v>
      </c>
      <c r="H13" s="23">
        <v>2262</v>
      </c>
    </row>
    <row r="14" spans="1:15" ht="40" x14ac:dyDescent="0.25">
      <c r="A14" s="20" t="s">
        <v>14</v>
      </c>
      <c r="B14" s="21"/>
      <c r="C14" s="21"/>
      <c r="D14" s="22">
        <v>424</v>
      </c>
      <c r="E14" s="22">
        <v>341</v>
      </c>
      <c r="F14" s="22">
        <v>320</v>
      </c>
      <c r="G14" s="22">
        <v>339</v>
      </c>
      <c r="H14" s="23">
        <v>337</v>
      </c>
    </row>
    <row r="15" spans="1:15" ht="20" x14ac:dyDescent="0.25">
      <c r="A15" s="20" t="s">
        <v>15</v>
      </c>
      <c r="B15" s="21"/>
      <c r="C15" s="21"/>
      <c r="D15" s="22">
        <v>-546</v>
      </c>
      <c r="E15" s="22">
        <v>-254</v>
      </c>
      <c r="F15" s="22">
        <v>-158</v>
      </c>
      <c r="G15" s="22">
        <v>-121</v>
      </c>
      <c r="H15" s="23">
        <v>-189</v>
      </c>
    </row>
    <row r="16" spans="1:15" s="4" customFormat="1" ht="20" x14ac:dyDescent="0.25">
      <c r="A16" s="24" t="s">
        <v>16</v>
      </c>
      <c r="B16" s="25"/>
      <c r="C16" s="25"/>
      <c r="D16" s="26">
        <f t="shared" ref="D16:G16" si="2">D13+D14+D15</f>
        <v>2137</v>
      </c>
      <c r="E16" s="26">
        <f t="shared" si="2"/>
        <v>1874</v>
      </c>
      <c r="F16" s="26">
        <f t="shared" si="2"/>
        <v>1836</v>
      </c>
      <c r="G16" s="26">
        <f t="shared" si="2"/>
        <v>2194</v>
      </c>
      <c r="H16" s="27">
        <f>H13+H14+H15</f>
        <v>2410</v>
      </c>
      <c r="I16" s="93"/>
    </row>
    <row r="17" spans="1:9" ht="20" x14ac:dyDescent="0.25">
      <c r="A17" s="28" t="s">
        <v>17</v>
      </c>
      <c r="B17" s="21"/>
      <c r="C17" s="21"/>
      <c r="D17" s="22"/>
      <c r="E17" s="22"/>
      <c r="F17" s="22">
        <v>2410</v>
      </c>
      <c r="G17" s="22"/>
      <c r="H17" s="23"/>
    </row>
    <row r="18" spans="1:9" ht="20" x14ac:dyDescent="0.25">
      <c r="A18" s="28" t="s">
        <v>18</v>
      </c>
      <c r="B18" s="21"/>
      <c r="C18" s="21"/>
      <c r="D18" s="22">
        <v>3027</v>
      </c>
      <c r="E18" s="22">
        <v>1538</v>
      </c>
      <c r="F18" s="22">
        <v>3000</v>
      </c>
      <c r="G18" s="22">
        <v>-210</v>
      </c>
      <c r="H18" s="23">
        <v>-1958</v>
      </c>
    </row>
    <row r="19" spans="1:9" ht="20" x14ac:dyDescent="0.25">
      <c r="A19" s="19" t="s">
        <v>30</v>
      </c>
      <c r="B19" s="21"/>
      <c r="C19" s="21"/>
      <c r="D19" s="22">
        <f>(D11-D16)-(D18)</f>
        <v>21848</v>
      </c>
      <c r="E19" s="22">
        <f>(E11-E16)-(E18)</f>
        <v>17016</v>
      </c>
      <c r="F19" s="22">
        <f>(F11-F16)-F18-F17</f>
        <v>18696</v>
      </c>
      <c r="G19" s="22">
        <f t="shared" ref="G19" si="3">(G11-G16)-(G18)</f>
        <v>20564</v>
      </c>
      <c r="H19" s="23">
        <f>(H11-H16)-(H18)</f>
        <v>20116</v>
      </c>
    </row>
    <row r="20" spans="1:9" ht="20" x14ac:dyDescent="0.25">
      <c r="A20" s="20" t="s">
        <v>19</v>
      </c>
      <c r="B20" s="21"/>
      <c r="C20" s="21"/>
      <c r="D20" s="22">
        <v>5578</v>
      </c>
      <c r="E20" s="22">
        <v>5724</v>
      </c>
      <c r="F20" s="22">
        <v>4756</v>
      </c>
      <c r="G20" s="22">
        <v>6858</v>
      </c>
      <c r="H20" s="23">
        <v>4915</v>
      </c>
    </row>
    <row r="21" spans="1:9" ht="20" x14ac:dyDescent="0.25">
      <c r="A21" s="29" t="s">
        <v>20</v>
      </c>
      <c r="B21" s="21"/>
      <c r="C21" s="21"/>
      <c r="D21" s="22">
        <f t="shared" ref="D21:G21" si="4">D19-D20</f>
        <v>16270</v>
      </c>
      <c r="E21" s="22">
        <f t="shared" si="4"/>
        <v>11292</v>
      </c>
      <c r="F21" s="22">
        <f t="shared" si="4"/>
        <v>13940</v>
      </c>
      <c r="G21" s="22">
        <f t="shared" si="4"/>
        <v>13706</v>
      </c>
      <c r="H21" s="23">
        <f>H19-H20</f>
        <v>15201</v>
      </c>
    </row>
    <row r="22" spans="1:9" ht="40" x14ac:dyDescent="0.25">
      <c r="A22" s="28" t="s">
        <v>21</v>
      </c>
      <c r="B22" s="21"/>
      <c r="C22" s="21"/>
      <c r="D22" s="22">
        <v>-759</v>
      </c>
      <c r="E22" s="22">
        <v>388</v>
      </c>
      <c r="F22" s="22">
        <v>-267</v>
      </c>
      <c r="G22" s="22">
        <v>-196</v>
      </c>
      <c r="H22" s="23">
        <v>-320</v>
      </c>
      <c r="I22" s="454"/>
    </row>
    <row r="23" spans="1:9" ht="40" x14ac:dyDescent="0.25">
      <c r="A23" s="19" t="s">
        <v>22</v>
      </c>
      <c r="B23" s="21"/>
      <c r="C23" s="21"/>
      <c r="D23" s="22">
        <f t="shared" ref="D23:G23" si="5">D21+D22</f>
        <v>15511</v>
      </c>
      <c r="E23" s="22">
        <f t="shared" si="5"/>
        <v>11680</v>
      </c>
      <c r="F23" s="22">
        <f t="shared" si="5"/>
        <v>13673</v>
      </c>
      <c r="G23" s="22">
        <f t="shared" si="5"/>
        <v>13510</v>
      </c>
      <c r="H23" s="23">
        <f>H21+H22</f>
        <v>14881</v>
      </c>
    </row>
    <row r="24" spans="1:9" ht="40" x14ac:dyDescent="0.25">
      <c r="A24" s="19" t="s">
        <v>35</v>
      </c>
      <c r="B24" s="21"/>
      <c r="C24" s="21"/>
      <c r="D24" s="22"/>
      <c r="E24" s="22"/>
      <c r="F24" s="22"/>
      <c r="G24" s="22"/>
      <c r="H24" s="23"/>
    </row>
    <row r="25" spans="1:9" ht="20" x14ac:dyDescent="0.25">
      <c r="A25" s="20" t="s">
        <v>36</v>
      </c>
      <c r="B25" s="21"/>
      <c r="C25" s="21"/>
      <c r="D25" s="22">
        <v>899</v>
      </c>
      <c r="E25" s="22">
        <v>-1858</v>
      </c>
      <c r="F25" s="22">
        <v>2442</v>
      </c>
      <c r="G25" s="22">
        <v>842</v>
      </c>
      <c r="H25" s="23">
        <v>286</v>
      </c>
    </row>
    <row r="26" spans="1:9" ht="20" x14ac:dyDescent="0.25">
      <c r="A26" s="20" t="s">
        <v>37</v>
      </c>
      <c r="B26" s="21"/>
      <c r="C26" s="21"/>
      <c r="D26" s="22">
        <v>0</v>
      </c>
      <c r="E26" s="22">
        <v>0</v>
      </c>
      <c r="F26" s="22">
        <v>-1202</v>
      </c>
      <c r="G26" s="22">
        <v>-221</v>
      </c>
      <c r="H26" s="23">
        <v>122</v>
      </c>
    </row>
    <row r="27" spans="1:9" ht="20" x14ac:dyDescent="0.25">
      <c r="A27" s="20" t="s">
        <v>38</v>
      </c>
      <c r="B27" s="21"/>
      <c r="C27" s="21"/>
      <c r="D27" s="22">
        <v>56</v>
      </c>
      <c r="E27" s="22">
        <v>-203</v>
      </c>
      <c r="F27" s="22">
        <v>-444</v>
      </c>
      <c r="G27" s="22">
        <v>235</v>
      </c>
      <c r="H27" s="23">
        <v>-399</v>
      </c>
    </row>
    <row r="28" spans="1:9" ht="20" x14ac:dyDescent="0.25">
      <c r="A28" s="20" t="s">
        <v>39</v>
      </c>
      <c r="B28" s="21"/>
      <c r="C28" s="21"/>
      <c r="D28" s="22">
        <v>-11</v>
      </c>
      <c r="E28" s="22">
        <v>5</v>
      </c>
      <c r="F28" s="22">
        <v>1974</v>
      </c>
      <c r="G28" s="22">
        <v>-30</v>
      </c>
      <c r="H28" s="23">
        <v>-1244</v>
      </c>
    </row>
    <row r="29" spans="1:9" ht="40" x14ac:dyDescent="0.25">
      <c r="A29" s="20" t="s">
        <v>40</v>
      </c>
      <c r="B29" s="21"/>
      <c r="C29" s="21"/>
      <c r="D29" s="22">
        <v>0</v>
      </c>
      <c r="E29" s="22">
        <v>0</v>
      </c>
      <c r="F29" s="22">
        <v>0</v>
      </c>
      <c r="G29" s="22">
        <v>0</v>
      </c>
      <c r="H29" s="23">
        <v>0</v>
      </c>
    </row>
    <row r="30" spans="1:9" s="4" customFormat="1" ht="40" x14ac:dyDescent="0.25">
      <c r="A30" s="24" t="s">
        <v>35</v>
      </c>
      <c r="B30" s="25"/>
      <c r="C30" s="25"/>
      <c r="D30" s="26">
        <f t="shared" ref="D30:G30" si="6">D25+D26+D27+D28</f>
        <v>944</v>
      </c>
      <c r="E30" s="26">
        <f t="shared" si="6"/>
        <v>-2056</v>
      </c>
      <c r="F30" s="26">
        <f t="shared" si="6"/>
        <v>2770</v>
      </c>
      <c r="G30" s="26">
        <f t="shared" si="6"/>
        <v>826</v>
      </c>
      <c r="H30" s="27">
        <f>H25+H26+H27+H28</f>
        <v>-1235</v>
      </c>
      <c r="I30" s="93"/>
    </row>
    <row r="31" spans="1:9" ht="40" x14ac:dyDescent="0.25">
      <c r="A31" s="20" t="s">
        <v>41</v>
      </c>
      <c r="B31" s="21"/>
      <c r="C31" s="21"/>
      <c r="D31" s="22">
        <v>-566</v>
      </c>
      <c r="E31" s="22">
        <v>404</v>
      </c>
      <c r="F31" s="22">
        <v>230</v>
      </c>
      <c r="G31" s="22">
        <v>213</v>
      </c>
      <c r="H31" s="23">
        <v>-28</v>
      </c>
    </row>
    <row r="32" spans="1:9" s="4" customFormat="1" ht="40" x14ac:dyDescent="0.25">
      <c r="A32" s="24" t="s">
        <v>42</v>
      </c>
      <c r="B32" s="25"/>
      <c r="C32" s="25"/>
      <c r="D32" s="26">
        <f t="shared" ref="D32:G32" si="7">D30+D31</f>
        <v>378</v>
      </c>
      <c r="E32" s="26">
        <f t="shared" si="7"/>
        <v>-1652</v>
      </c>
      <c r="F32" s="26">
        <f t="shared" si="7"/>
        <v>3000</v>
      </c>
      <c r="G32" s="26">
        <f t="shared" si="7"/>
        <v>1039</v>
      </c>
      <c r="H32" s="27">
        <f>H30+H31</f>
        <v>-1263</v>
      </c>
      <c r="I32" s="93"/>
    </row>
    <row r="33" spans="1:9" ht="40" x14ac:dyDescent="0.25">
      <c r="A33" s="19" t="s">
        <v>43</v>
      </c>
      <c r="B33" s="21"/>
      <c r="C33" s="21"/>
      <c r="D33" s="22">
        <f t="shared" ref="D33:G33" si="8">D35-D34</f>
        <v>17214</v>
      </c>
      <c r="E33" s="22">
        <f t="shared" si="8"/>
        <v>9236</v>
      </c>
      <c r="F33" s="22">
        <f t="shared" si="8"/>
        <v>16710</v>
      </c>
      <c r="G33" s="22">
        <f t="shared" si="8"/>
        <v>14532</v>
      </c>
      <c r="H33" s="23">
        <f>H35-H34</f>
        <v>13966</v>
      </c>
    </row>
    <row r="34" spans="1:9" ht="40" x14ac:dyDescent="0.25">
      <c r="A34" s="28" t="s">
        <v>45</v>
      </c>
      <c r="B34" s="21"/>
      <c r="C34" s="21"/>
      <c r="D34" s="22">
        <v>-1325</v>
      </c>
      <c r="E34" s="22">
        <v>792</v>
      </c>
      <c r="F34" s="22">
        <v>-37</v>
      </c>
      <c r="G34" s="22">
        <v>17</v>
      </c>
      <c r="H34" s="23">
        <v>-348</v>
      </c>
    </row>
    <row r="35" spans="1:9" s="3" customFormat="1" ht="40" x14ac:dyDescent="0.25">
      <c r="A35" s="19" t="s">
        <v>44</v>
      </c>
      <c r="B35" s="16"/>
      <c r="C35" s="16"/>
      <c r="D35" s="30">
        <f t="shared" ref="D35:G35" si="9">D23+D32</f>
        <v>15889</v>
      </c>
      <c r="E35" s="30">
        <f t="shared" si="9"/>
        <v>10028</v>
      </c>
      <c r="F35" s="30">
        <f t="shared" si="9"/>
        <v>16673</v>
      </c>
      <c r="G35" s="30">
        <f t="shared" si="9"/>
        <v>14549</v>
      </c>
      <c r="H35" s="31">
        <f>H23+H32</f>
        <v>13618</v>
      </c>
      <c r="I35" s="92"/>
    </row>
    <row r="36" spans="1:9" ht="19" x14ac:dyDescent="0.25">
      <c r="A36" s="32"/>
      <c r="B36" s="21"/>
      <c r="C36" s="21"/>
      <c r="D36" s="22"/>
      <c r="E36" s="22"/>
      <c r="F36" s="22"/>
      <c r="G36" s="22"/>
      <c r="H36" s="23"/>
    </row>
    <row r="37" spans="1:9" ht="19" x14ac:dyDescent="0.25">
      <c r="A37" s="32"/>
      <c r="B37" s="21"/>
      <c r="C37" s="21"/>
      <c r="D37" s="22"/>
      <c r="E37" s="22"/>
      <c r="F37" s="22"/>
      <c r="G37" s="22"/>
      <c r="H37" s="23"/>
    </row>
    <row r="38" spans="1:9" ht="20" x14ac:dyDescent="0.25">
      <c r="A38" s="19" t="s">
        <v>34</v>
      </c>
      <c r="B38" s="21"/>
      <c r="C38" s="21"/>
      <c r="D38" s="22"/>
      <c r="E38" s="22"/>
      <c r="F38" s="22"/>
      <c r="G38" s="22"/>
      <c r="H38" s="23"/>
    </row>
    <row r="39" spans="1:9" ht="20" x14ac:dyDescent="0.25">
      <c r="A39" s="32" t="s">
        <v>29</v>
      </c>
      <c r="B39" s="21"/>
      <c r="C39" s="21"/>
      <c r="D39" s="22"/>
      <c r="E39" s="22"/>
      <c r="F39" s="22"/>
      <c r="G39" s="22"/>
      <c r="H39" s="23"/>
    </row>
    <row r="40" spans="1:9" ht="40" x14ac:dyDescent="0.25">
      <c r="A40" s="20" t="s">
        <v>23</v>
      </c>
      <c r="B40" s="21"/>
      <c r="C40" s="21"/>
      <c r="D40" s="33">
        <v>1.92</v>
      </c>
      <c r="E40" s="33">
        <v>4.29</v>
      </c>
      <c r="F40" s="33">
        <v>4.9000000000000004</v>
      </c>
      <c r="G40" s="33">
        <v>4.7699999999999996</v>
      </c>
      <c r="H40" s="34">
        <v>5.22</v>
      </c>
    </row>
    <row r="41" spans="1:9" ht="40" x14ac:dyDescent="0.25">
      <c r="A41" s="20" t="s">
        <v>24</v>
      </c>
      <c r="B41" s="21"/>
      <c r="C41" s="21"/>
      <c r="D41" s="33">
        <v>1.91</v>
      </c>
      <c r="E41" s="33">
        <v>4.2699999999999996</v>
      </c>
      <c r="F41" s="33">
        <v>4.87</v>
      </c>
      <c r="G41" s="33">
        <v>4.75</v>
      </c>
      <c r="H41" s="34">
        <v>5.19</v>
      </c>
    </row>
    <row r="42" spans="1:9" ht="40" x14ac:dyDescent="0.25">
      <c r="A42" s="35" t="s">
        <v>31</v>
      </c>
      <c r="B42" s="21"/>
      <c r="C42" s="21"/>
      <c r="D42" s="22"/>
      <c r="E42" s="22"/>
      <c r="F42" s="22"/>
      <c r="G42" s="22"/>
      <c r="H42" s="34"/>
    </row>
    <row r="43" spans="1:9" ht="20" x14ac:dyDescent="0.25">
      <c r="A43" s="28" t="s">
        <v>32</v>
      </c>
      <c r="B43" s="21"/>
      <c r="C43" s="21"/>
      <c r="D43" s="36">
        <v>8077</v>
      </c>
      <c r="E43" s="36">
        <v>2724</v>
      </c>
      <c r="F43" s="36">
        <v>2792</v>
      </c>
      <c r="G43" s="36">
        <v>2831</v>
      </c>
      <c r="H43" s="37">
        <v>2850</v>
      </c>
    </row>
    <row r="44" spans="1:9" ht="20" x14ac:dyDescent="0.25">
      <c r="A44" s="28" t="s">
        <v>33</v>
      </c>
      <c r="B44" s="21"/>
      <c r="C44" s="21"/>
      <c r="D44" s="36">
        <v>8108</v>
      </c>
      <c r="E44" s="36">
        <v>2734</v>
      </c>
      <c r="F44" s="36">
        <v>2805</v>
      </c>
      <c r="G44" s="36">
        <v>2847</v>
      </c>
      <c r="H44" s="37">
        <v>2868</v>
      </c>
    </row>
    <row r="45" spans="1:9" ht="20" x14ac:dyDescent="0.25">
      <c r="A45" s="28" t="s">
        <v>25</v>
      </c>
      <c r="B45" s="21"/>
      <c r="C45" s="21"/>
      <c r="D45" s="33">
        <v>0.76</v>
      </c>
      <c r="E45" s="33">
        <v>2.2400000000000002</v>
      </c>
      <c r="F45" s="33">
        <v>2.2000000000000002</v>
      </c>
      <c r="G45" s="33">
        <v>2.16</v>
      </c>
      <c r="H45" s="34">
        <v>2.12</v>
      </c>
    </row>
    <row r="46" spans="1:9" ht="21" thickBot="1" x14ac:dyDescent="0.3">
      <c r="A46" s="38" t="s">
        <v>4</v>
      </c>
      <c r="B46" s="39"/>
      <c r="C46" s="39"/>
      <c r="D46" s="40">
        <v>0.255</v>
      </c>
      <c r="E46" s="41">
        <v>0.33600000000000002</v>
      </c>
      <c r="F46" s="41">
        <v>0.254</v>
      </c>
      <c r="G46" s="41">
        <v>0.33300000000000002</v>
      </c>
      <c r="H46" s="42">
        <v>0.24399999999999999</v>
      </c>
    </row>
    <row r="47" spans="1:9" ht="17" thickBot="1" x14ac:dyDescent="0.25"/>
    <row r="48" spans="1:9" ht="46" x14ac:dyDescent="0.3">
      <c r="A48" s="50" t="s">
        <v>137</v>
      </c>
      <c r="B48" s="5"/>
      <c r="C48" s="5"/>
      <c r="D48" s="54" t="s">
        <v>143</v>
      </c>
      <c r="E48" s="54" t="s">
        <v>144</v>
      </c>
      <c r="F48" s="54" t="s">
        <v>145</v>
      </c>
      <c r="G48" s="54" t="s">
        <v>6</v>
      </c>
      <c r="H48" s="55" t="s">
        <v>146</v>
      </c>
    </row>
    <row r="49" spans="1:9" x14ac:dyDescent="0.2">
      <c r="A49" s="8"/>
      <c r="D49" s="6"/>
      <c r="E49" s="6"/>
      <c r="F49" s="6"/>
      <c r="G49" s="6"/>
      <c r="H49" s="7"/>
    </row>
    <row r="50" spans="1:9" ht="20" x14ac:dyDescent="0.25">
      <c r="A50" s="19" t="s">
        <v>78</v>
      </c>
      <c r="B50" s="21"/>
      <c r="C50" s="21"/>
      <c r="D50" s="22"/>
      <c r="E50" s="22"/>
      <c r="F50" s="22"/>
      <c r="G50" s="22"/>
      <c r="H50" s="23"/>
    </row>
    <row r="51" spans="1:9" ht="20" x14ac:dyDescent="0.25">
      <c r="A51" s="28" t="s">
        <v>69</v>
      </c>
      <c r="B51" s="21"/>
      <c r="C51" s="21"/>
      <c r="D51" s="22">
        <v>9867</v>
      </c>
      <c r="E51" s="22">
        <v>8625</v>
      </c>
      <c r="F51" s="22">
        <v>14760</v>
      </c>
      <c r="G51" s="22">
        <v>17741</v>
      </c>
      <c r="H51" s="23">
        <v>9465</v>
      </c>
    </row>
    <row r="52" spans="1:9" ht="20" x14ac:dyDescent="0.25">
      <c r="A52" s="28" t="s">
        <v>70</v>
      </c>
      <c r="B52" s="21"/>
      <c r="C52" s="21"/>
      <c r="D52" s="22">
        <v>8796</v>
      </c>
      <c r="E52" s="22">
        <v>7933</v>
      </c>
      <c r="F52" s="22">
        <v>8280</v>
      </c>
      <c r="G52" s="22">
        <v>6516</v>
      </c>
      <c r="H52" s="23">
        <v>6284</v>
      </c>
    </row>
    <row r="53" spans="1:9" ht="20" x14ac:dyDescent="0.25">
      <c r="A53" s="28" t="s">
        <v>3</v>
      </c>
      <c r="B53" s="21"/>
      <c r="C53" s="21"/>
      <c r="D53" s="22">
        <v>54892</v>
      </c>
      <c r="E53" s="22">
        <v>56576</v>
      </c>
      <c r="F53" s="22">
        <v>56511</v>
      </c>
      <c r="G53" s="22">
        <v>44949</v>
      </c>
      <c r="H53" s="23">
        <v>44435</v>
      </c>
    </row>
    <row r="54" spans="1:9" ht="20" x14ac:dyDescent="0.25">
      <c r="A54" s="28" t="s">
        <v>71</v>
      </c>
      <c r="B54" s="21"/>
      <c r="C54" s="21"/>
      <c r="D54" s="22">
        <v>3322</v>
      </c>
      <c r="E54" s="22">
        <v>2521</v>
      </c>
      <c r="F54" s="22">
        <v>1519</v>
      </c>
      <c r="G54" s="22">
        <v>20861</v>
      </c>
      <c r="H54" s="23">
        <v>1622</v>
      </c>
    </row>
    <row r="55" spans="1:9" ht="20" x14ac:dyDescent="0.25">
      <c r="A55" s="24" t="s">
        <v>72</v>
      </c>
      <c r="B55" s="21"/>
      <c r="C55" s="21"/>
      <c r="D55" s="22">
        <f t="shared" ref="D55:E55" si="10">D51+D52+D53+D54</f>
        <v>76877</v>
      </c>
      <c r="E55" s="22">
        <f t="shared" si="10"/>
        <v>75655</v>
      </c>
      <c r="F55" s="22">
        <f>F51+F52+F53+F54</f>
        <v>81070</v>
      </c>
      <c r="G55" s="22">
        <f>G51+G52+G53+G54</f>
        <v>90067</v>
      </c>
      <c r="H55" s="23">
        <f>H51+H52+H53+H54</f>
        <v>61806</v>
      </c>
      <c r="I55" s="454">
        <f>SUM(D57:D60)</f>
        <v>64712</v>
      </c>
    </row>
    <row r="56" spans="1:9" ht="20" x14ac:dyDescent="0.25">
      <c r="A56" s="28" t="s">
        <v>73</v>
      </c>
      <c r="B56" s="21"/>
      <c r="C56" s="21"/>
      <c r="D56" s="22">
        <v>110810</v>
      </c>
      <c r="E56" s="22">
        <v>100760</v>
      </c>
      <c r="F56" s="22">
        <v>94515</v>
      </c>
      <c r="G56" s="22">
        <v>92201</v>
      </c>
      <c r="H56" s="23">
        <v>105208</v>
      </c>
    </row>
    <row r="57" spans="1:9" ht="20" x14ac:dyDescent="0.25">
      <c r="A57" s="28" t="s">
        <v>74</v>
      </c>
      <c r="B57" s="21"/>
      <c r="C57" s="21"/>
      <c r="D57" s="22">
        <v>13673</v>
      </c>
      <c r="E57" s="22">
        <v>13555</v>
      </c>
      <c r="F57" s="22">
        <v>13758</v>
      </c>
      <c r="G57" s="22">
        <v>13642</v>
      </c>
      <c r="H57" s="23">
        <v>17424</v>
      </c>
    </row>
    <row r="58" spans="1:9" ht="20" x14ac:dyDescent="0.25">
      <c r="A58" s="28" t="s">
        <v>75</v>
      </c>
      <c r="B58" s="21"/>
      <c r="C58" s="21"/>
      <c r="D58" s="22">
        <v>5855</v>
      </c>
      <c r="E58" s="22">
        <v>4919</v>
      </c>
      <c r="F58" s="22">
        <v>4351</v>
      </c>
      <c r="G58" s="22">
        <v>4005</v>
      </c>
      <c r="H58" s="23">
        <v>4417</v>
      </c>
    </row>
    <row r="59" spans="1:9" ht="20" x14ac:dyDescent="0.25">
      <c r="A59" s="28" t="s">
        <v>76</v>
      </c>
      <c r="B59" s="21"/>
      <c r="C59" s="21"/>
      <c r="D59" s="22">
        <v>28113</v>
      </c>
      <c r="E59" s="22">
        <v>28174</v>
      </c>
      <c r="F59" s="22">
        <v>29014</v>
      </c>
      <c r="G59" s="22">
        <v>28983</v>
      </c>
      <c r="H59" s="23">
        <v>31073</v>
      </c>
    </row>
    <row r="60" spans="1:9" ht="20" x14ac:dyDescent="0.25">
      <c r="A60" s="28" t="s">
        <v>77</v>
      </c>
      <c r="B60" s="21"/>
      <c r="C60" s="21"/>
      <c r="D60" s="22">
        <v>17071</v>
      </c>
      <c r="E60" s="22">
        <v>20134</v>
      </c>
      <c r="F60" s="22">
        <v>22152</v>
      </c>
      <c r="G60" s="22">
        <v>23598</v>
      </c>
      <c r="H60" s="23">
        <v>16567</v>
      </c>
    </row>
    <row r="61" spans="1:9" ht="20" x14ac:dyDescent="0.25">
      <c r="A61" s="24" t="s">
        <v>1</v>
      </c>
      <c r="B61" s="21"/>
      <c r="C61" s="21"/>
      <c r="D61" s="22">
        <f t="shared" ref="D61:E61" si="11">SUM(D51:D60)-D55</f>
        <v>252399</v>
      </c>
      <c r="E61" s="22">
        <f t="shared" si="11"/>
        <v>243197</v>
      </c>
      <c r="F61" s="22">
        <f>SUM(F51:F60)-F55</f>
        <v>244860</v>
      </c>
      <c r="G61" s="22">
        <f>SUM(G51:G60)-G55</f>
        <v>252496</v>
      </c>
      <c r="H61" s="23">
        <f>SUM(H51:H60)-H55</f>
        <v>236495</v>
      </c>
    </row>
    <row r="62" spans="1:9" ht="19" x14ac:dyDescent="0.25">
      <c r="A62" s="24"/>
      <c r="B62" s="21"/>
      <c r="C62" s="21"/>
      <c r="D62" s="22"/>
      <c r="E62" s="22"/>
      <c r="F62" s="22"/>
      <c r="G62" s="22"/>
      <c r="H62" s="23"/>
    </row>
    <row r="63" spans="1:9" ht="20" x14ac:dyDescent="0.25">
      <c r="A63" s="29" t="s">
        <v>90</v>
      </c>
      <c r="B63" s="21"/>
      <c r="C63" s="21"/>
      <c r="D63" s="22"/>
      <c r="E63" s="22"/>
      <c r="F63" s="22"/>
      <c r="G63" s="22"/>
      <c r="H63" s="23"/>
    </row>
    <row r="64" spans="1:9" ht="20" x14ac:dyDescent="0.25">
      <c r="A64" s="19" t="s">
        <v>79</v>
      </c>
      <c r="B64" s="21"/>
      <c r="C64" s="21"/>
      <c r="D64" s="22"/>
      <c r="E64" s="22"/>
      <c r="F64" s="22"/>
      <c r="G64" s="22"/>
      <c r="H64" s="23"/>
    </row>
    <row r="65" spans="1:9" ht="20" x14ac:dyDescent="0.25">
      <c r="A65" s="28" t="s">
        <v>80</v>
      </c>
      <c r="B65" s="21"/>
      <c r="C65" s="21"/>
      <c r="D65" s="22">
        <v>878</v>
      </c>
      <c r="E65" s="22">
        <v>372</v>
      </c>
      <c r="F65" s="22">
        <v>410</v>
      </c>
      <c r="G65" s="22">
        <v>224</v>
      </c>
      <c r="H65" s="23">
        <v>575</v>
      </c>
      <c r="I65" s="454">
        <f>SUM(D65+D69+D70+D71)</f>
        <v>6537</v>
      </c>
    </row>
    <row r="66" spans="1:9" ht="20" x14ac:dyDescent="0.25">
      <c r="A66" s="28" t="s">
        <v>81</v>
      </c>
      <c r="B66" s="21"/>
      <c r="C66" s="21"/>
      <c r="D66" s="22">
        <v>56812</v>
      </c>
      <c r="E66" s="22">
        <v>53742</v>
      </c>
      <c r="F66" s="22">
        <v>55261</v>
      </c>
      <c r="G66" s="22">
        <v>49141</v>
      </c>
      <c r="H66" s="23">
        <v>46973</v>
      </c>
    </row>
    <row r="67" spans="1:9" ht="20" x14ac:dyDescent="0.25">
      <c r="A67" s="28" t="s">
        <v>82</v>
      </c>
      <c r="B67" s="21"/>
      <c r="C67" s="21"/>
      <c r="D67" s="22">
        <v>28759</v>
      </c>
      <c r="E67" s="22">
        <v>31126</v>
      </c>
      <c r="F67" s="22">
        <v>26060</v>
      </c>
      <c r="G67" s="22">
        <v>37966</v>
      </c>
      <c r="H67" s="23">
        <v>22296</v>
      </c>
    </row>
    <row r="68" spans="1:9" ht="20" x14ac:dyDescent="0.25">
      <c r="A68" s="28" t="s">
        <v>99</v>
      </c>
      <c r="B68" s="21"/>
      <c r="C68" s="21"/>
      <c r="D68" s="22">
        <v>307</v>
      </c>
      <c r="E68" s="22">
        <v>727</v>
      </c>
      <c r="F68" s="22">
        <v>851</v>
      </c>
      <c r="G68" s="22">
        <v>242</v>
      </c>
      <c r="H68" s="23">
        <v>280</v>
      </c>
    </row>
    <row r="69" spans="1:9" ht="20" x14ac:dyDescent="0.25">
      <c r="A69" s="28" t="s">
        <v>83</v>
      </c>
      <c r="B69" s="21"/>
      <c r="C69" s="21"/>
      <c r="D69" s="22">
        <v>3447</v>
      </c>
      <c r="E69" s="22">
        <v>4191</v>
      </c>
      <c r="F69" s="22">
        <v>2803</v>
      </c>
      <c r="G69" s="22">
        <v>3115</v>
      </c>
      <c r="H69" s="23">
        <v>5362</v>
      </c>
    </row>
    <row r="70" spans="1:9" ht="40" x14ac:dyDescent="0.25">
      <c r="A70" s="28" t="s">
        <v>84</v>
      </c>
      <c r="B70" s="21"/>
      <c r="C70" s="21"/>
      <c r="D70" s="22">
        <v>1487</v>
      </c>
      <c r="E70" s="22">
        <v>1473</v>
      </c>
      <c r="F70" s="22">
        <v>1483</v>
      </c>
      <c r="G70" s="22">
        <v>1466</v>
      </c>
      <c r="H70" s="23">
        <v>1793</v>
      </c>
    </row>
    <row r="71" spans="1:9" ht="20" x14ac:dyDescent="0.25">
      <c r="A71" s="28" t="s">
        <v>85</v>
      </c>
      <c r="B71" s="21"/>
      <c r="C71" s="21"/>
      <c r="D71" s="22">
        <v>725</v>
      </c>
      <c r="E71" s="22">
        <v>567</v>
      </c>
      <c r="F71" s="22">
        <v>511</v>
      </c>
      <c r="G71" s="22">
        <v>491</v>
      </c>
      <c r="H71" s="23">
        <v>511</v>
      </c>
      <c r="I71" s="454">
        <f>SUM(D73:D75)</f>
        <v>54784</v>
      </c>
    </row>
    <row r="72" spans="1:9" ht="20" x14ac:dyDescent="0.25">
      <c r="A72" s="24" t="s">
        <v>86</v>
      </c>
      <c r="B72" s="21"/>
      <c r="C72" s="21"/>
      <c r="D72" s="22">
        <f t="shared" ref="D72:E72" si="12">SUM(D65:D71)</f>
        <v>92415</v>
      </c>
      <c r="E72" s="22">
        <f t="shared" si="12"/>
        <v>92198</v>
      </c>
      <c r="F72" s="22">
        <f>SUM(F65:F71)</f>
        <v>87379</v>
      </c>
      <c r="G72" s="22">
        <f>SUM(G65:G71)</f>
        <v>92645</v>
      </c>
      <c r="H72" s="23">
        <f>SUM(H65:H71)</f>
        <v>77790</v>
      </c>
    </row>
    <row r="73" spans="1:9" ht="20" x14ac:dyDescent="0.25">
      <c r="A73" s="28" t="s">
        <v>87</v>
      </c>
      <c r="B73" s="21"/>
      <c r="C73" s="21"/>
      <c r="D73" s="22">
        <v>36132</v>
      </c>
      <c r="E73" s="22">
        <v>34649</v>
      </c>
      <c r="F73" s="22">
        <v>34864</v>
      </c>
      <c r="G73" s="22">
        <v>41194</v>
      </c>
      <c r="H73" s="23">
        <v>43714</v>
      </c>
    </row>
    <row r="74" spans="1:9" ht="20" x14ac:dyDescent="0.25">
      <c r="A74" s="28" t="s">
        <v>88</v>
      </c>
      <c r="B74" s="21"/>
      <c r="C74" s="21"/>
      <c r="D74" s="22">
        <v>12943</v>
      </c>
      <c r="E74" s="22">
        <v>12828</v>
      </c>
      <c r="F74" s="22">
        <v>13009</v>
      </c>
      <c r="G74" s="22">
        <v>12909</v>
      </c>
      <c r="H74" s="23">
        <v>16171</v>
      </c>
    </row>
    <row r="75" spans="1:9" ht="20" x14ac:dyDescent="0.25">
      <c r="A75" s="28" t="s">
        <v>100</v>
      </c>
      <c r="B75" s="21"/>
      <c r="C75" s="21"/>
      <c r="D75" s="22">
        <v>5709</v>
      </c>
      <c r="E75" s="22">
        <v>4843</v>
      </c>
      <c r="F75" s="22">
        <v>4243</v>
      </c>
      <c r="G75" s="22">
        <v>3847</v>
      </c>
      <c r="H75" s="23">
        <v>4307</v>
      </c>
    </row>
    <row r="76" spans="1:9" ht="20" x14ac:dyDescent="0.25">
      <c r="A76" s="28" t="s">
        <v>89</v>
      </c>
      <c r="B76" s="21"/>
      <c r="C76" s="21"/>
      <c r="D76" s="22">
        <v>14629</v>
      </c>
      <c r="E76" s="22">
        <v>14688</v>
      </c>
      <c r="F76" s="22">
        <v>13474</v>
      </c>
      <c r="G76" s="22">
        <v>14370</v>
      </c>
      <c r="H76" s="23">
        <v>12961</v>
      </c>
      <c r="I76" s="454">
        <f>SUM(D81+D83+D85)</f>
        <v>-270</v>
      </c>
    </row>
    <row r="77" spans="1:9" ht="20" x14ac:dyDescent="0.25">
      <c r="A77" s="28" t="s">
        <v>101</v>
      </c>
      <c r="B77" s="21"/>
      <c r="C77" s="21"/>
      <c r="D77" s="22">
        <v>222</v>
      </c>
      <c r="E77" s="22">
        <v>237</v>
      </c>
      <c r="F77" s="22">
        <v>0</v>
      </c>
      <c r="G77" s="22">
        <v>0</v>
      </c>
      <c r="H77" s="23">
        <v>0</v>
      </c>
    </row>
    <row r="78" spans="1:9" ht="20" x14ac:dyDescent="0.25">
      <c r="A78" s="456" t="s">
        <v>454</v>
      </c>
      <c r="B78" s="21"/>
      <c r="C78" s="21"/>
      <c r="D78" s="22">
        <f>SUM(D72:D77)</f>
        <v>162050</v>
      </c>
      <c r="E78" s="22">
        <f t="shared" ref="E78:H78" si="13">SUM(E72:E77)</f>
        <v>159443</v>
      </c>
      <c r="F78" s="22">
        <f t="shared" si="13"/>
        <v>152969</v>
      </c>
      <c r="G78" s="22">
        <f t="shared" si="13"/>
        <v>164965</v>
      </c>
      <c r="H78" s="22">
        <f t="shared" si="13"/>
        <v>154943</v>
      </c>
    </row>
    <row r="79" spans="1:9" ht="20" x14ac:dyDescent="0.25">
      <c r="A79" s="19" t="s">
        <v>91</v>
      </c>
      <c r="B79" s="21"/>
      <c r="C79" s="21"/>
      <c r="D79" s="22"/>
      <c r="E79" s="22"/>
      <c r="F79" s="22"/>
      <c r="G79" s="22"/>
      <c r="H79" s="23"/>
    </row>
    <row r="80" spans="1:9" ht="20" x14ac:dyDescent="0.25">
      <c r="A80" s="28" t="s">
        <v>92</v>
      </c>
      <c r="B80" s="21"/>
      <c r="C80" s="21"/>
      <c r="D80" s="22">
        <v>805</v>
      </c>
      <c r="E80" s="22">
        <v>808</v>
      </c>
      <c r="F80" s="22">
        <v>276</v>
      </c>
      <c r="G80" s="22">
        <v>282</v>
      </c>
      <c r="H80" s="23">
        <v>284</v>
      </c>
    </row>
    <row r="81" spans="1:8" ht="20" x14ac:dyDescent="0.25">
      <c r="A81" s="28" t="s">
        <v>93</v>
      </c>
      <c r="B81" s="21"/>
      <c r="C81" s="21"/>
      <c r="D81" s="22">
        <v>4544</v>
      </c>
      <c r="E81" s="22">
        <v>4430</v>
      </c>
      <c r="F81" s="22">
        <v>4839</v>
      </c>
      <c r="G81" s="22">
        <v>3646</v>
      </c>
      <c r="H81" s="23">
        <v>3247</v>
      </c>
    </row>
    <row r="82" spans="1:8" ht="20" x14ac:dyDescent="0.25">
      <c r="A82" s="28" t="s">
        <v>94</v>
      </c>
      <c r="B82" s="21"/>
      <c r="C82" s="21"/>
      <c r="D82" s="22">
        <v>89814</v>
      </c>
      <c r="E82" s="22">
        <v>83135</v>
      </c>
      <c r="F82" s="22">
        <v>86904</v>
      </c>
      <c r="G82" s="22">
        <v>88763</v>
      </c>
      <c r="H82" s="23">
        <v>83943</v>
      </c>
    </row>
    <row r="83" spans="1:8" ht="20" x14ac:dyDescent="0.25">
      <c r="A83" s="28" t="s">
        <v>95</v>
      </c>
      <c r="B83" s="21"/>
      <c r="C83" s="21"/>
      <c r="D83" s="22">
        <v>-11302</v>
      </c>
      <c r="E83" s="22">
        <v>-11680</v>
      </c>
      <c r="F83" s="22">
        <v>-8766</v>
      </c>
      <c r="G83" s="22">
        <v>-11766</v>
      </c>
      <c r="H83" s="23">
        <v>-12805</v>
      </c>
    </row>
    <row r="84" spans="1:8" ht="20" x14ac:dyDescent="0.25">
      <c r="A84" s="24" t="s">
        <v>96</v>
      </c>
      <c r="B84" s="21"/>
      <c r="C84" s="21"/>
      <c r="D84" s="22">
        <f t="shared" ref="D84" si="14">SUM(D80:D83)</f>
        <v>83861</v>
      </c>
      <c r="E84" s="22">
        <f>SUM(E80:E83)</f>
        <v>76693</v>
      </c>
      <c r="F84" s="22">
        <f>SUM(F80:F83)</f>
        <v>83253</v>
      </c>
      <c r="G84" s="22">
        <f>SUM(G80:G83)</f>
        <v>80925</v>
      </c>
      <c r="H84" s="23">
        <f>SUM(H80:H83)</f>
        <v>74669</v>
      </c>
    </row>
    <row r="85" spans="1:8" ht="20" x14ac:dyDescent="0.25">
      <c r="A85" s="28" t="s">
        <v>97</v>
      </c>
      <c r="B85" s="21"/>
      <c r="C85" s="21"/>
      <c r="D85" s="22">
        <v>6488</v>
      </c>
      <c r="E85" s="22">
        <v>7061</v>
      </c>
      <c r="F85" s="22">
        <v>8638</v>
      </c>
      <c r="G85" s="22">
        <v>6606</v>
      </c>
      <c r="H85" s="23">
        <v>6883</v>
      </c>
    </row>
    <row r="86" spans="1:8" ht="20" x14ac:dyDescent="0.25">
      <c r="A86" s="24" t="s">
        <v>0</v>
      </c>
      <c r="B86" s="21"/>
      <c r="C86" s="21"/>
      <c r="D86" s="22">
        <f t="shared" ref="D86:E86" si="15">SUM(D84:D85)</f>
        <v>90349</v>
      </c>
      <c r="E86" s="22">
        <f t="shared" si="15"/>
        <v>83754</v>
      </c>
      <c r="F86" s="22">
        <f>SUM(F84:F85)</f>
        <v>91891</v>
      </c>
      <c r="G86" s="22">
        <f>SUM(G84:G85)</f>
        <v>87531</v>
      </c>
      <c r="H86" s="23">
        <f>SUM(H84:H85)</f>
        <v>81552</v>
      </c>
    </row>
    <row r="87" spans="1:8" ht="21" thickBot="1" x14ac:dyDescent="0.3">
      <c r="A87" s="43" t="s">
        <v>98</v>
      </c>
      <c r="B87" s="39"/>
      <c r="C87" s="39"/>
      <c r="D87" s="44">
        <f>SUM(D72,D86,D73:D77)</f>
        <v>252399</v>
      </c>
      <c r="E87" s="44">
        <f>SUM(E72,E86,E73:E77)</f>
        <v>243197</v>
      </c>
      <c r="F87" s="44">
        <f>SUM(F72,F86,F73:F76)</f>
        <v>244860</v>
      </c>
      <c r="G87" s="44">
        <f>SUM(G72,G86,G73:G76)</f>
        <v>252496</v>
      </c>
      <c r="H87" s="45">
        <f>SUM(H72,H86,H73:H76)</f>
        <v>236495</v>
      </c>
    </row>
    <row r="88" spans="1:8" ht="19" x14ac:dyDescent="0.25">
      <c r="A88" s="47"/>
      <c r="B88" s="21"/>
      <c r="C88" s="21"/>
      <c r="D88" s="22"/>
      <c r="E88" s="22"/>
      <c r="F88" s="22"/>
      <c r="G88" s="22"/>
      <c r="H88" s="22"/>
    </row>
    <row r="89" spans="1:8" ht="17" thickBot="1" x14ac:dyDescent="0.25"/>
    <row r="90" spans="1:8" ht="31" thickBot="1" x14ac:dyDescent="0.4">
      <c r="A90" s="46" t="s">
        <v>142</v>
      </c>
      <c r="B90" s="595" t="s">
        <v>185</v>
      </c>
      <c r="C90" s="593"/>
      <c r="D90" s="593"/>
      <c r="E90" s="593"/>
      <c r="F90" s="593"/>
      <c r="G90" s="593"/>
      <c r="H90" s="594"/>
    </row>
    <row r="91" spans="1:8" ht="40" x14ac:dyDescent="0.25">
      <c r="A91" s="56" t="s">
        <v>148</v>
      </c>
      <c r="B91" s="57"/>
      <c r="C91" s="57"/>
      <c r="D91" s="58">
        <f>(D11)*(1-0.255)</f>
        <v>20123.939999999999</v>
      </c>
      <c r="E91" s="58">
        <f>(E11)*(1-0.336)</f>
        <v>13564.191999999999</v>
      </c>
      <c r="F91" s="58">
        <f>(F11)*(1-0.254)</f>
        <v>19352.732</v>
      </c>
      <c r="G91" s="58">
        <f>(G11)*(1-0.333)</f>
        <v>15039.516000000001</v>
      </c>
      <c r="H91" s="59">
        <f>(H11)*(1-0.244)</f>
        <v>15549.407999999999</v>
      </c>
    </row>
    <row r="92" spans="1:8" ht="60" x14ac:dyDescent="0.25">
      <c r="A92" s="28" t="s">
        <v>149</v>
      </c>
      <c r="B92" s="21"/>
      <c r="C92" s="21"/>
      <c r="D92" s="22">
        <f>D55-D72</f>
        <v>-15538</v>
      </c>
      <c r="E92" s="22">
        <f t="shared" ref="E92:H92" si="16">E55-E72</f>
        <v>-16543</v>
      </c>
      <c r="F92" s="22">
        <f t="shared" si="16"/>
        <v>-6309</v>
      </c>
      <c r="G92" s="22">
        <f t="shared" si="16"/>
        <v>-2578</v>
      </c>
      <c r="H92" s="23">
        <f t="shared" si="16"/>
        <v>-15984</v>
      </c>
    </row>
    <row r="93" spans="1:8" ht="40" x14ac:dyDescent="0.25">
      <c r="A93" s="28" t="s">
        <v>150</v>
      </c>
      <c r="B93" s="21"/>
      <c r="C93" s="21"/>
      <c r="D93" s="22">
        <f>SUM(D92,D56)</f>
        <v>95272</v>
      </c>
      <c r="E93" s="22">
        <f t="shared" ref="E93:H93" si="17">SUM(E92,E56)</f>
        <v>84217</v>
      </c>
      <c r="F93" s="22">
        <f t="shared" si="17"/>
        <v>88206</v>
      </c>
      <c r="G93" s="22">
        <f t="shared" si="17"/>
        <v>89623</v>
      </c>
      <c r="H93" s="23">
        <f t="shared" si="17"/>
        <v>89224</v>
      </c>
    </row>
    <row r="94" spans="1:8" ht="20" x14ac:dyDescent="0.25">
      <c r="A94" s="32" t="s">
        <v>120</v>
      </c>
      <c r="B94" s="21"/>
      <c r="C94" s="21"/>
      <c r="D94" s="22">
        <f>D93-E93</f>
        <v>11055</v>
      </c>
      <c r="E94" s="22">
        <f>E93-F93</f>
        <v>-3989</v>
      </c>
      <c r="F94" s="22">
        <f>F93-G93</f>
        <v>-1417</v>
      </c>
      <c r="G94" s="22">
        <f>G93-H93</f>
        <v>399</v>
      </c>
      <c r="H94" s="23">
        <f>H93-I93</f>
        <v>89224</v>
      </c>
    </row>
    <row r="95" spans="1:8" ht="40" x14ac:dyDescent="0.25">
      <c r="A95" s="28" t="s">
        <v>151</v>
      </c>
      <c r="B95" s="21"/>
      <c r="C95" s="21"/>
      <c r="D95" s="22">
        <f>D91-D94</f>
        <v>9068.9399999999987</v>
      </c>
      <c r="E95" s="22">
        <f>E91-E94</f>
        <v>17553.191999999999</v>
      </c>
      <c r="F95" s="22">
        <f>F91-F94</f>
        <v>20769.732</v>
      </c>
      <c r="G95" s="22">
        <f>G91-G94</f>
        <v>14640.516000000001</v>
      </c>
      <c r="H95" s="23">
        <f>H91-H94</f>
        <v>-73674.592000000004</v>
      </c>
    </row>
    <row r="96" spans="1:8" ht="40" x14ac:dyDescent="0.25">
      <c r="A96" s="28" t="s">
        <v>152</v>
      </c>
      <c r="B96" s="21"/>
      <c r="C96" s="21"/>
      <c r="D96" s="60">
        <f>D91/D93</f>
        <v>0.21122617348224032</v>
      </c>
      <c r="E96" s="60">
        <f t="shared" ref="E96:H96" si="18">E91/E93</f>
        <v>0.16106239832812852</v>
      </c>
      <c r="F96" s="60">
        <f t="shared" si="18"/>
        <v>0.21940380472983698</v>
      </c>
      <c r="G96" s="60">
        <f t="shared" si="18"/>
        <v>0.1678086651863919</v>
      </c>
      <c r="H96" s="61">
        <f t="shared" si="18"/>
        <v>0.17427382766968527</v>
      </c>
    </row>
    <row r="97" spans="1:9" ht="40" x14ac:dyDescent="0.25">
      <c r="A97" s="28" t="s">
        <v>153</v>
      </c>
      <c r="B97" s="21"/>
      <c r="C97" s="21"/>
      <c r="D97" s="62">
        <f>D91/D5</f>
        <v>3.131463018780431E-2</v>
      </c>
      <c r="E97" s="62">
        <f>E91/E5</f>
        <v>2.2387551350842822E-2</v>
      </c>
      <c r="F97" s="62">
        <f t="shared" ref="F97:H97" si="19">F91/F5</f>
        <v>3.4085993779083487E-2</v>
      </c>
      <c r="G97" s="62">
        <f t="shared" si="19"/>
        <v>2.7086855428261652E-2</v>
      </c>
      <c r="H97" s="63">
        <f t="shared" si="19"/>
        <v>2.9906963683293392E-2</v>
      </c>
    </row>
    <row r="98" spans="1:9" ht="41" thickBot="1" x14ac:dyDescent="0.3">
      <c r="A98" s="38" t="s">
        <v>154</v>
      </c>
      <c r="B98" s="39"/>
      <c r="C98" s="39"/>
      <c r="D98" s="64">
        <f>D93/D5</f>
        <v>0.14825165684515521</v>
      </c>
      <c r="E98" s="64">
        <f t="shared" ref="E98:H98" si="20">E93/E5</f>
        <v>0.1389992424254928</v>
      </c>
      <c r="F98" s="64">
        <f t="shared" si="20"/>
        <v>0.15535735043909243</v>
      </c>
      <c r="G98" s="64">
        <f t="shared" si="20"/>
        <v>0.16141511761728861</v>
      </c>
      <c r="H98" s="65">
        <f t="shared" si="20"/>
        <v>0.17160903667060312</v>
      </c>
    </row>
    <row r="99" spans="1:9" x14ac:dyDescent="0.2">
      <c r="A99" s="48"/>
      <c r="D99" s="9"/>
      <c r="E99" s="9"/>
      <c r="F99" s="9"/>
      <c r="G99" s="9"/>
      <c r="H99" s="9"/>
    </row>
    <row r="100" spans="1:9" ht="17" thickBot="1" x14ac:dyDescent="0.25">
      <c r="H100" s="6"/>
    </row>
    <row r="101" spans="1:9" ht="31" thickBot="1" x14ac:dyDescent="0.4">
      <c r="A101" s="49" t="s">
        <v>141</v>
      </c>
      <c r="B101" s="595" t="s">
        <v>186</v>
      </c>
      <c r="C101" s="593"/>
      <c r="D101" s="593"/>
      <c r="E101" s="593"/>
      <c r="F101" s="593"/>
      <c r="G101" s="593"/>
      <c r="H101" s="593"/>
      <c r="I101" s="211"/>
    </row>
    <row r="102" spans="1:9" ht="23" x14ac:dyDescent="0.3">
      <c r="A102" s="50" t="s">
        <v>131</v>
      </c>
      <c r="B102" s="75"/>
      <c r="C102" s="75" t="s">
        <v>130</v>
      </c>
      <c r="D102" s="75">
        <v>2024</v>
      </c>
      <c r="E102" s="75">
        <v>2025</v>
      </c>
      <c r="F102" s="75">
        <v>2026</v>
      </c>
      <c r="G102" s="75">
        <v>2027</v>
      </c>
      <c r="H102" s="76">
        <v>2028</v>
      </c>
    </row>
    <row r="103" spans="1:9" ht="20" x14ac:dyDescent="0.25">
      <c r="A103" s="19" t="s">
        <v>159</v>
      </c>
      <c r="B103" s="21"/>
      <c r="C103" s="21"/>
      <c r="D103" s="21"/>
      <c r="E103" s="21"/>
      <c r="F103" s="21"/>
      <c r="G103" s="21"/>
      <c r="H103" s="66"/>
    </row>
    <row r="104" spans="1:9" ht="20" x14ac:dyDescent="0.25">
      <c r="A104" s="32" t="s">
        <v>129</v>
      </c>
      <c r="B104" s="21"/>
      <c r="C104" s="74">
        <v>0.05</v>
      </c>
      <c r="D104" s="74">
        <v>0.05</v>
      </c>
      <c r="E104" s="74">
        <v>0.05</v>
      </c>
      <c r="F104" s="74">
        <v>0.05</v>
      </c>
      <c r="G104" s="74">
        <v>0.05</v>
      </c>
      <c r="H104" s="74">
        <v>0.05</v>
      </c>
      <c r="I104" s="211"/>
    </row>
    <row r="105" spans="1:9" ht="40" x14ac:dyDescent="0.25">
      <c r="A105" s="28" t="s">
        <v>156</v>
      </c>
      <c r="B105" s="21"/>
      <c r="C105" s="73">
        <v>3.1E-2</v>
      </c>
      <c r="D105" s="73">
        <v>3.1E-2</v>
      </c>
      <c r="E105" s="73">
        <v>3.1E-2</v>
      </c>
      <c r="F105" s="73">
        <v>3.1E-2</v>
      </c>
      <c r="G105" s="73">
        <v>3.1E-2</v>
      </c>
      <c r="H105" s="67">
        <v>3.1E-2</v>
      </c>
    </row>
    <row r="106" spans="1:9" ht="40" x14ac:dyDescent="0.25">
      <c r="A106" s="28" t="s">
        <v>155</v>
      </c>
      <c r="B106" s="21"/>
      <c r="C106" s="74">
        <v>0.15</v>
      </c>
      <c r="D106" s="74">
        <v>0.15</v>
      </c>
      <c r="E106" s="74">
        <v>0.15</v>
      </c>
      <c r="F106" s="210">
        <v>0.15</v>
      </c>
      <c r="G106" s="74">
        <v>0.15</v>
      </c>
      <c r="H106" s="68">
        <v>0.15</v>
      </c>
    </row>
    <row r="107" spans="1:9" ht="19" x14ac:dyDescent="0.25">
      <c r="A107" s="69"/>
      <c r="B107" s="21"/>
      <c r="C107" s="21"/>
      <c r="D107" s="21"/>
      <c r="E107" s="21"/>
      <c r="F107" s="21"/>
      <c r="G107" s="21"/>
      <c r="H107" s="66"/>
    </row>
    <row r="108" spans="1:9" ht="20" x14ac:dyDescent="0.25">
      <c r="A108" s="19" t="s">
        <v>160</v>
      </c>
      <c r="B108" s="21"/>
      <c r="C108" s="21"/>
      <c r="D108" s="21"/>
      <c r="E108" s="21"/>
      <c r="F108" s="21"/>
      <c r="G108" s="21"/>
      <c r="H108" s="66"/>
    </row>
    <row r="109" spans="1:9" ht="19" x14ac:dyDescent="0.25">
      <c r="A109" s="15" t="s">
        <v>127</v>
      </c>
      <c r="B109" s="21"/>
      <c r="C109" s="70">
        <f>D5</f>
        <v>642637</v>
      </c>
      <c r="D109" s="70">
        <f>(1+D104)*(C109)</f>
        <v>674768.85</v>
      </c>
      <c r="E109" s="70">
        <f>(1+E104)*(D109)</f>
        <v>708507.29249999998</v>
      </c>
      <c r="F109" s="70">
        <f>(1+F104)*(E109)</f>
        <v>743932.65712500003</v>
      </c>
      <c r="G109" s="70">
        <f>(1+G104)*(F109)</f>
        <v>781129.28998125007</v>
      </c>
      <c r="H109" s="71">
        <f>(1+H104)*(G109)</f>
        <v>820185.75448031258</v>
      </c>
      <c r="I109" s="91" t="s">
        <v>132</v>
      </c>
    </row>
    <row r="110" spans="1:9" ht="40" x14ac:dyDescent="0.25">
      <c r="A110" s="28" t="s">
        <v>148</v>
      </c>
      <c r="B110" s="21"/>
      <c r="C110" s="22">
        <v>20124</v>
      </c>
      <c r="D110" s="70">
        <f>D109*D105</f>
        <v>20917.834349999997</v>
      </c>
      <c r="E110" s="70">
        <f>E109*E105</f>
        <v>21963.7260675</v>
      </c>
      <c r="F110" s="70">
        <f>F109*F105</f>
        <v>23061.912370875001</v>
      </c>
      <c r="G110" s="70">
        <f>G109*G105</f>
        <v>24215.007989418751</v>
      </c>
      <c r="H110" s="71">
        <f t="shared" ref="H110" si="21">H109*H105</f>
        <v>25425.758388889692</v>
      </c>
      <c r="I110" s="91" t="s">
        <v>133</v>
      </c>
    </row>
    <row r="111" spans="1:9" ht="60" x14ac:dyDescent="0.25">
      <c r="A111" s="28" t="s">
        <v>149</v>
      </c>
      <c r="B111" s="21"/>
      <c r="C111" s="70">
        <f>D92</f>
        <v>-15538</v>
      </c>
      <c r="D111" s="70">
        <f>E92</f>
        <v>-16543</v>
      </c>
      <c r="E111" s="70">
        <f>F92</f>
        <v>-6309</v>
      </c>
      <c r="F111" s="70">
        <f>G92</f>
        <v>-2578</v>
      </c>
      <c r="G111" s="70">
        <f>H92</f>
        <v>-15984</v>
      </c>
      <c r="H111" s="71">
        <f t="shared" ref="H111" si="22">I92</f>
        <v>0</v>
      </c>
    </row>
    <row r="112" spans="1:9" ht="40" x14ac:dyDescent="0.25">
      <c r="A112" s="28" t="s">
        <v>150</v>
      </c>
      <c r="B112" s="21"/>
      <c r="C112" s="70">
        <f>D93</f>
        <v>95272</v>
      </c>
      <c r="D112" s="70">
        <f>D109*D106</f>
        <v>101215.3275</v>
      </c>
      <c r="E112" s="70">
        <f>E109*E106</f>
        <v>106276.09387499999</v>
      </c>
      <c r="F112" s="70">
        <f>F109*F106</f>
        <v>111589.89856875</v>
      </c>
      <c r="G112" s="70">
        <f>G109*G106</f>
        <v>117169.39349718751</v>
      </c>
      <c r="H112" s="71">
        <f t="shared" ref="H112" si="23">H109*H106</f>
        <v>123027.86317204688</v>
      </c>
      <c r="I112" s="91" t="s">
        <v>135</v>
      </c>
    </row>
    <row r="113" spans="1:21" ht="20" x14ac:dyDescent="0.25">
      <c r="A113" s="28" t="s">
        <v>120</v>
      </c>
      <c r="B113" s="21"/>
      <c r="C113" s="70">
        <f>D94</f>
        <v>11055</v>
      </c>
      <c r="D113" s="70">
        <f>D112-C112</f>
        <v>5943.3274999999994</v>
      </c>
      <c r="E113" s="70">
        <f>E112-D112</f>
        <v>5060.766374999992</v>
      </c>
      <c r="F113" s="70">
        <f>F112-E112</f>
        <v>5313.8046937500039</v>
      </c>
      <c r="G113" s="70">
        <f>G112-F112</f>
        <v>5579.494928437518</v>
      </c>
      <c r="H113" s="71">
        <f>H112-G112</f>
        <v>5858.4696748593706</v>
      </c>
    </row>
    <row r="114" spans="1:21" ht="40" x14ac:dyDescent="0.25">
      <c r="A114" s="28" t="s">
        <v>151</v>
      </c>
      <c r="B114" s="21"/>
      <c r="C114" s="70">
        <f>D95</f>
        <v>9068.9399999999987</v>
      </c>
      <c r="D114" s="70">
        <f>D110-D113</f>
        <v>14974.506849999998</v>
      </c>
      <c r="E114" s="70">
        <f>E110-E113</f>
        <v>16902.959692500008</v>
      </c>
      <c r="F114" s="70">
        <f>F110-F113</f>
        <v>17748.107677124997</v>
      </c>
      <c r="G114" s="70">
        <f>G110-G113</f>
        <v>18635.513060981233</v>
      </c>
      <c r="H114" s="71">
        <f t="shared" ref="H114" si="24">H110-H113</f>
        <v>19567.288714030321</v>
      </c>
      <c r="I114" s="91" t="s">
        <v>134</v>
      </c>
    </row>
    <row r="115" spans="1:21" ht="20" x14ac:dyDescent="0.25">
      <c r="A115" s="32" t="s">
        <v>128</v>
      </c>
      <c r="B115" s="21"/>
      <c r="C115" s="21"/>
      <c r="D115" s="21"/>
      <c r="E115" s="21"/>
      <c r="F115" s="21"/>
      <c r="G115" s="21"/>
      <c r="H115" s="66"/>
    </row>
    <row r="116" spans="1:21" ht="41" thickBot="1" x14ac:dyDescent="0.3">
      <c r="A116" s="38" t="s">
        <v>152</v>
      </c>
      <c r="B116" s="39"/>
      <c r="C116" s="72">
        <f>C110/C112</f>
        <v>0.21122680325804014</v>
      </c>
      <c r="D116" s="72">
        <f t="shared" ref="D116:H116" si="25">D110/D112</f>
        <v>0.20666666666666664</v>
      </c>
      <c r="E116" s="72">
        <f t="shared" si="25"/>
        <v>0.20666666666666669</v>
      </c>
      <c r="F116" s="72">
        <f t="shared" si="25"/>
        <v>0.20666666666666669</v>
      </c>
      <c r="G116" s="72">
        <f t="shared" si="25"/>
        <v>0.20666666666666667</v>
      </c>
      <c r="H116" s="72">
        <f t="shared" si="25"/>
        <v>0.20666666666666669</v>
      </c>
      <c r="I116" s="211"/>
    </row>
    <row r="118" spans="1:21" ht="17" thickBot="1" x14ac:dyDescent="0.25"/>
    <row r="119" spans="1:21" ht="31" thickBot="1" x14ac:dyDescent="0.4">
      <c r="A119" s="46" t="s">
        <v>161</v>
      </c>
      <c r="B119" s="595" t="s">
        <v>187</v>
      </c>
      <c r="C119" s="593"/>
      <c r="D119" s="593"/>
      <c r="E119" s="593"/>
      <c r="F119" s="593"/>
      <c r="G119" s="593"/>
      <c r="H119" s="593"/>
      <c r="I119" s="211"/>
      <c r="M119" s="148"/>
      <c r="N119" s="596"/>
      <c r="O119" s="596"/>
      <c r="P119" s="596"/>
      <c r="Q119" s="596"/>
      <c r="R119" s="596"/>
      <c r="S119" s="596"/>
      <c r="T119" s="596"/>
      <c r="U119" s="91"/>
    </row>
    <row r="120" spans="1:21" ht="20" x14ac:dyDescent="0.25">
      <c r="A120" s="99" t="s">
        <v>162</v>
      </c>
      <c r="B120" s="100"/>
      <c r="C120" s="57"/>
      <c r="D120" s="101" t="s">
        <v>163</v>
      </c>
      <c r="E120" s="102" t="s">
        <v>164</v>
      </c>
      <c r="F120" s="58"/>
      <c r="G120" s="58"/>
      <c r="H120" s="59"/>
      <c r="M120" s="149"/>
      <c r="N120" s="21"/>
      <c r="O120" s="21"/>
      <c r="P120" s="150"/>
      <c r="Q120" s="151"/>
      <c r="R120" s="152"/>
      <c r="S120" s="152"/>
      <c r="T120" s="152"/>
      <c r="U120" s="91"/>
    </row>
    <row r="121" spans="1:21" ht="39" customHeight="1" x14ac:dyDescent="0.25">
      <c r="A121" s="146" t="s">
        <v>189</v>
      </c>
      <c r="B121" s="145">
        <v>0.05</v>
      </c>
      <c r="C121" s="21"/>
      <c r="D121" s="103"/>
      <c r="E121" s="104"/>
      <c r="F121" s="22"/>
      <c r="G121" s="22"/>
      <c r="H121" s="23"/>
      <c r="I121" s="136" t="s">
        <v>188</v>
      </c>
      <c r="M121" s="153"/>
      <c r="N121" s="103"/>
      <c r="O121" s="21"/>
      <c r="P121" s="103"/>
      <c r="Q121" s="154"/>
      <c r="R121" s="152"/>
      <c r="S121" s="152"/>
      <c r="T121" s="152"/>
      <c r="U121" s="126"/>
    </row>
    <row r="122" spans="1:21" ht="23" customHeight="1" x14ac:dyDescent="0.25">
      <c r="A122" s="105" t="s">
        <v>275</v>
      </c>
      <c r="B122" s="207">
        <f>((B145/B147)*B151)+((B146/B147)*B148*(1-B143))</f>
        <v>5.718161080938227E-2</v>
      </c>
      <c r="C122" s="597" t="s">
        <v>165</v>
      </c>
      <c r="D122" s="598"/>
      <c r="E122" s="598"/>
      <c r="F122" s="598"/>
      <c r="G122" s="599"/>
      <c r="H122" s="23"/>
      <c r="I122" s="136" t="s">
        <v>200</v>
      </c>
      <c r="M122" s="153"/>
      <c r="N122" s="103"/>
      <c r="O122" s="592"/>
      <c r="P122" s="592"/>
      <c r="Q122" s="592"/>
      <c r="R122" s="592"/>
      <c r="S122" s="592"/>
      <c r="T122" s="152"/>
      <c r="U122" s="126"/>
    </row>
    <row r="123" spans="1:21" ht="20" x14ac:dyDescent="0.25">
      <c r="A123" s="107" t="s">
        <v>170</v>
      </c>
      <c r="B123" s="108">
        <v>2023</v>
      </c>
      <c r="C123" s="108">
        <v>2024</v>
      </c>
      <c r="D123" s="108">
        <v>2025</v>
      </c>
      <c r="E123" s="108">
        <v>2026</v>
      </c>
      <c r="F123" s="108">
        <v>2027</v>
      </c>
      <c r="G123" s="108">
        <v>2028</v>
      </c>
      <c r="H123" s="23"/>
      <c r="M123" s="155"/>
      <c r="N123" s="156"/>
      <c r="O123" s="156"/>
      <c r="P123" s="156"/>
      <c r="Q123" s="156"/>
      <c r="R123" s="156"/>
      <c r="S123" s="156"/>
      <c r="T123" s="152"/>
      <c r="U123" s="91"/>
    </row>
    <row r="124" spans="1:21" ht="20" x14ac:dyDescent="0.25">
      <c r="A124" s="107" t="s">
        <v>166</v>
      </c>
      <c r="B124" s="109"/>
      <c r="C124" s="110">
        <f>D114</f>
        <v>14974.506849999998</v>
      </c>
      <c r="D124" s="110">
        <f t="shared" ref="D124:G124" si="26">E114</f>
        <v>16902.959692500008</v>
      </c>
      <c r="E124" s="110">
        <f t="shared" si="26"/>
        <v>17748.107677124997</v>
      </c>
      <c r="F124" s="110">
        <f t="shared" si="26"/>
        <v>18635.513060981233</v>
      </c>
      <c r="G124" s="110">
        <f t="shared" si="26"/>
        <v>19567.288714030321</v>
      </c>
      <c r="H124" s="23"/>
      <c r="M124" s="155"/>
      <c r="N124" s="157"/>
      <c r="O124" s="158"/>
      <c r="P124" s="158"/>
      <c r="Q124" s="158"/>
      <c r="R124" s="158"/>
      <c r="S124" s="158"/>
      <c r="T124" s="152"/>
      <c r="U124" s="91"/>
    </row>
    <row r="125" spans="1:21" ht="19" x14ac:dyDescent="0.25">
      <c r="A125" s="28"/>
      <c r="B125" s="21"/>
      <c r="C125" s="21"/>
      <c r="D125" s="21"/>
      <c r="E125" s="22"/>
      <c r="F125" s="22"/>
      <c r="G125" s="22"/>
      <c r="H125" s="23"/>
      <c r="M125" s="88"/>
      <c r="N125" s="21"/>
      <c r="O125" s="21"/>
      <c r="P125" s="21"/>
      <c r="Q125" s="152"/>
      <c r="R125" s="152"/>
      <c r="S125" s="152"/>
      <c r="T125" s="152"/>
      <c r="U125" s="91"/>
    </row>
    <row r="126" spans="1:21" ht="20" thickBot="1" x14ac:dyDescent="0.3">
      <c r="A126" s="28"/>
      <c r="B126" s="21"/>
      <c r="C126" s="111" t="s">
        <v>175</v>
      </c>
      <c r="D126" s="112" t="s">
        <v>177</v>
      </c>
      <c r="E126" s="112" t="s">
        <v>178</v>
      </c>
      <c r="F126" s="112" t="s">
        <v>179</v>
      </c>
      <c r="G126" s="113" t="s">
        <v>180</v>
      </c>
      <c r="H126" s="23"/>
      <c r="M126" s="88"/>
      <c r="N126" s="21"/>
      <c r="O126" s="103"/>
      <c r="P126" s="103"/>
      <c r="Q126" s="103"/>
      <c r="R126" s="103"/>
      <c r="S126" s="103"/>
      <c r="T126" s="152"/>
      <c r="U126" s="91"/>
    </row>
    <row r="127" spans="1:21" ht="19" x14ac:dyDescent="0.25">
      <c r="A127" s="28"/>
      <c r="B127" s="21"/>
      <c r="C127" s="114" t="s">
        <v>176</v>
      </c>
      <c r="D127" s="115" t="s">
        <v>181</v>
      </c>
      <c r="E127" s="115" t="s">
        <v>182</v>
      </c>
      <c r="F127" s="115" t="s">
        <v>183</v>
      </c>
      <c r="G127" s="106" t="s">
        <v>171</v>
      </c>
      <c r="H127" s="116" t="s">
        <v>167</v>
      </c>
      <c r="M127" s="88"/>
      <c r="N127" s="21"/>
      <c r="O127" s="103"/>
      <c r="P127" s="103"/>
      <c r="Q127" s="103"/>
      <c r="R127" s="103"/>
      <c r="S127" s="103"/>
      <c r="T127" s="152"/>
      <c r="U127" s="91"/>
    </row>
    <row r="128" spans="1:21" ht="19" x14ac:dyDescent="0.25">
      <c r="A128" s="28"/>
      <c r="B128" s="21"/>
      <c r="C128" s="172">
        <f>C124/(1+B122)^1</f>
        <v>14164.55479067164</v>
      </c>
      <c r="D128" s="172">
        <f>D124/(1+B122)^2</f>
        <v>15123.891585316216</v>
      </c>
      <c r="E128" s="172">
        <f>E124/(1+B122)^3</f>
        <v>15021.152470126832</v>
      </c>
      <c r="F128" s="172">
        <f>F124/(1+B122)^4</f>
        <v>14919.111278863336</v>
      </c>
      <c r="G128" s="172">
        <f>G124/(1+B122)^5</f>
        <v>14817.76327041225</v>
      </c>
      <c r="H128" s="23"/>
      <c r="M128" s="88"/>
      <c r="N128" s="21"/>
      <c r="O128" s="103"/>
      <c r="P128" s="103"/>
      <c r="Q128" s="103"/>
      <c r="R128" s="103"/>
      <c r="S128" s="103"/>
      <c r="T128" s="152"/>
      <c r="U128" s="91"/>
    </row>
    <row r="129" spans="1:21" ht="23.75" customHeight="1" thickBot="1" x14ac:dyDescent="0.3">
      <c r="A129" s="28"/>
      <c r="B129" s="21"/>
      <c r="C129" s="21"/>
      <c r="D129" s="21"/>
      <c r="E129" s="22"/>
      <c r="F129" s="22"/>
      <c r="G129" s="22"/>
      <c r="H129" s="117" t="s">
        <v>168</v>
      </c>
      <c r="M129" s="88"/>
      <c r="N129" s="21"/>
      <c r="O129" s="21"/>
      <c r="P129" s="21"/>
      <c r="Q129" s="152"/>
      <c r="R129" s="152"/>
      <c r="S129" s="152"/>
      <c r="T129" s="159"/>
      <c r="U129" s="91"/>
    </row>
    <row r="130" spans="1:21" ht="19" x14ac:dyDescent="0.25">
      <c r="A130" s="28"/>
      <c r="B130" s="21"/>
      <c r="C130" s="21"/>
      <c r="D130" s="21"/>
      <c r="E130" s="22"/>
      <c r="F130" s="22"/>
      <c r="G130" s="22"/>
      <c r="H130" s="118" t="s">
        <v>169</v>
      </c>
      <c r="M130" s="88"/>
      <c r="N130" s="21"/>
      <c r="O130" s="21"/>
      <c r="P130" s="21"/>
      <c r="Q130" s="152"/>
      <c r="R130" s="152"/>
      <c r="S130" s="152"/>
      <c r="T130" s="160"/>
      <c r="U130" s="91"/>
    </row>
    <row r="131" spans="1:21" ht="19" x14ac:dyDescent="0.25">
      <c r="A131" s="588" t="s">
        <v>172</v>
      </c>
      <c r="B131" s="167">
        <f>C128</f>
        <v>14164.55479067164</v>
      </c>
      <c r="C131" s="21"/>
      <c r="D131" s="21"/>
      <c r="E131" s="22"/>
      <c r="F131" s="22"/>
      <c r="G131" s="22"/>
      <c r="H131" s="23"/>
      <c r="M131" s="591"/>
      <c r="N131" s="161"/>
      <c r="O131" s="21"/>
      <c r="P131" s="21"/>
      <c r="Q131" s="152"/>
      <c r="R131" s="152"/>
      <c r="S131" s="152"/>
      <c r="T131" s="152"/>
      <c r="U131" s="91"/>
    </row>
    <row r="132" spans="1:21" ht="20" thickBot="1" x14ac:dyDescent="0.3">
      <c r="A132" s="589"/>
      <c r="B132" s="168">
        <f>D128</f>
        <v>15123.891585316216</v>
      </c>
      <c r="C132" s="21"/>
      <c r="D132" s="21"/>
      <c r="E132" s="22"/>
      <c r="F132" s="22"/>
      <c r="G132" s="22"/>
      <c r="H132" s="119">
        <f>G124*(1+B121)</f>
        <v>20545.653149731839</v>
      </c>
      <c r="M132" s="591"/>
      <c r="N132" s="161"/>
      <c r="O132" s="21"/>
      <c r="P132" s="21"/>
      <c r="Q132" s="152"/>
      <c r="R132" s="152"/>
      <c r="S132" s="152"/>
      <c r="T132" s="162"/>
      <c r="U132" s="91"/>
    </row>
    <row r="133" spans="1:21" ht="19" x14ac:dyDescent="0.25">
      <c r="A133" s="589"/>
      <c r="B133" s="168">
        <f>E128</f>
        <v>15021.152470126832</v>
      </c>
      <c r="C133" s="21"/>
      <c r="D133" s="171"/>
      <c r="E133" s="22"/>
      <c r="F133" s="22"/>
      <c r="G133" s="22"/>
      <c r="H133" s="120">
        <f>B122-B121</f>
        <v>7.1816108093822675E-3</v>
      </c>
      <c r="M133" s="591"/>
      <c r="N133" s="161"/>
      <c r="O133" s="21"/>
      <c r="P133" s="21"/>
      <c r="Q133" s="152"/>
      <c r="R133" s="152"/>
      <c r="S133" s="152"/>
      <c r="T133" s="163"/>
      <c r="U133" s="91"/>
    </row>
    <row r="134" spans="1:21" ht="19" x14ac:dyDescent="0.25">
      <c r="A134" s="589"/>
      <c r="B134" s="168">
        <f>F128</f>
        <v>14919.111278863336</v>
      </c>
      <c r="C134" s="21"/>
      <c r="D134" s="22"/>
      <c r="E134" s="22"/>
      <c r="F134" s="22"/>
      <c r="G134" s="22"/>
      <c r="H134" s="23"/>
      <c r="M134" s="591"/>
      <c r="N134" s="161"/>
      <c r="O134" s="21"/>
      <c r="P134" s="152"/>
      <c r="Q134" s="152"/>
      <c r="R134" s="152"/>
      <c r="S134" s="152"/>
      <c r="T134" s="152"/>
      <c r="U134" s="91"/>
    </row>
    <row r="135" spans="1:21" ht="19" x14ac:dyDescent="0.25">
      <c r="A135" s="590"/>
      <c r="B135" s="169">
        <f>G128</f>
        <v>14817.76327041225</v>
      </c>
      <c r="C135" s="21"/>
      <c r="D135" s="22"/>
      <c r="E135" s="22"/>
      <c r="F135" s="22"/>
      <c r="G135" s="22"/>
      <c r="H135" s="121">
        <f>H132/H133</f>
        <v>2860869.754023762</v>
      </c>
      <c r="M135" s="591"/>
      <c r="N135" s="161"/>
      <c r="O135" s="21"/>
      <c r="P135" s="152"/>
      <c r="Q135" s="152"/>
      <c r="R135" s="152"/>
      <c r="S135" s="152"/>
      <c r="T135" s="152"/>
      <c r="U135" s="91"/>
    </row>
    <row r="136" spans="1:21" ht="21" thickBot="1" x14ac:dyDescent="0.3">
      <c r="A136" s="122" t="s">
        <v>173</v>
      </c>
      <c r="B136" s="170">
        <f>G136/(1+B122)^5</f>
        <v>2166457.0591331101</v>
      </c>
      <c r="C136" s="21"/>
      <c r="D136" s="22"/>
      <c r="E136" s="22"/>
      <c r="F136" s="22"/>
      <c r="G136" s="123">
        <f>H135</f>
        <v>2860869.754023762</v>
      </c>
      <c r="H136" s="23"/>
      <c r="M136" s="155"/>
      <c r="N136" s="164"/>
      <c r="O136" s="21"/>
      <c r="P136" s="152"/>
      <c r="Q136" s="152"/>
      <c r="R136" s="152"/>
      <c r="S136" s="151"/>
      <c r="T136" s="152"/>
      <c r="U136" s="91"/>
    </row>
    <row r="137" spans="1:21" ht="19" x14ac:dyDescent="0.25">
      <c r="A137" s="28"/>
      <c r="B137" s="21"/>
      <c r="C137" s="21"/>
      <c r="D137" s="22"/>
      <c r="E137" s="22"/>
      <c r="F137" s="22"/>
      <c r="G137" s="124" t="s">
        <v>171</v>
      </c>
      <c r="H137" s="23"/>
      <c r="M137" s="88"/>
      <c r="N137" s="21"/>
      <c r="O137" s="21"/>
      <c r="P137" s="152"/>
      <c r="Q137" s="152"/>
      <c r="R137" s="152"/>
      <c r="S137" s="151"/>
      <c r="T137" s="152"/>
      <c r="U137" s="91"/>
    </row>
    <row r="138" spans="1:21" ht="21" thickBot="1" x14ac:dyDescent="0.3">
      <c r="A138" s="125" t="s">
        <v>174</v>
      </c>
      <c r="B138" s="166">
        <f>SUM(B131:B136)</f>
        <v>2240503.5325285005</v>
      </c>
      <c r="C138" s="39"/>
      <c r="D138" s="44"/>
      <c r="E138" s="44"/>
      <c r="F138" s="44"/>
      <c r="G138" s="44"/>
      <c r="H138" s="45"/>
      <c r="M138" s="165"/>
      <c r="N138" s="164"/>
      <c r="O138" s="21"/>
      <c r="P138" s="152"/>
      <c r="Q138" s="152"/>
      <c r="R138" s="152"/>
      <c r="S138" s="152"/>
      <c r="T138" s="152"/>
      <c r="U138" s="91"/>
    </row>
    <row r="139" spans="1:21" x14ac:dyDescent="0.2">
      <c r="A139"/>
      <c r="D139"/>
      <c r="E139"/>
      <c r="F139"/>
      <c r="G139"/>
      <c r="H139"/>
    </row>
    <row r="140" spans="1:21" x14ac:dyDescent="0.2">
      <c r="A140"/>
      <c r="D140"/>
      <c r="E140"/>
      <c r="F140"/>
      <c r="G140"/>
      <c r="H140"/>
    </row>
    <row r="141" spans="1:21" x14ac:dyDescent="0.2">
      <c r="A141"/>
      <c r="D141"/>
      <c r="E141"/>
      <c r="F141"/>
      <c r="G141"/>
      <c r="H141"/>
    </row>
    <row r="142" spans="1:21" ht="22" x14ac:dyDescent="0.3">
      <c r="A142" s="134" t="s">
        <v>190</v>
      </c>
      <c r="B142" s="127"/>
      <c r="C142" s="127"/>
      <c r="D142"/>
      <c r="E142"/>
      <c r="F142"/>
      <c r="G142"/>
      <c r="H142"/>
    </row>
    <row r="143" spans="1:21" ht="19" x14ac:dyDescent="0.25">
      <c r="A143" s="128" t="s">
        <v>191</v>
      </c>
      <c r="B143" s="129">
        <f>D46</f>
        <v>0.255</v>
      </c>
      <c r="C143" s="142"/>
      <c r="D143"/>
      <c r="E143"/>
      <c r="F143"/>
      <c r="G143"/>
      <c r="H143"/>
      <c r="I143" s="139" t="s">
        <v>224</v>
      </c>
      <c r="J143" s="137" t="s">
        <v>202</v>
      </c>
    </row>
    <row r="144" spans="1:21" ht="19" x14ac:dyDescent="0.25">
      <c r="A144" s="128" t="s">
        <v>192</v>
      </c>
      <c r="B144" s="130">
        <v>0.8</v>
      </c>
      <c r="C144" s="143"/>
      <c r="D144"/>
      <c r="E144"/>
      <c r="F144"/>
      <c r="G144"/>
      <c r="H144"/>
      <c r="I144" s="138" t="s">
        <v>227</v>
      </c>
      <c r="J144" s="135" t="s">
        <v>232</v>
      </c>
    </row>
    <row r="145" spans="1:10" ht="19" x14ac:dyDescent="0.25">
      <c r="A145" s="128" t="s">
        <v>193</v>
      </c>
      <c r="B145" s="141">
        <v>708744</v>
      </c>
      <c r="C145" s="143"/>
      <c r="D145"/>
      <c r="E145"/>
      <c r="F145"/>
      <c r="G145"/>
      <c r="H145"/>
      <c r="I145" s="137" t="s">
        <v>201</v>
      </c>
      <c r="J145" s="135" t="s">
        <v>233</v>
      </c>
    </row>
    <row r="146" spans="1:10" ht="19" x14ac:dyDescent="0.25">
      <c r="A146" s="128" t="s">
        <v>194</v>
      </c>
      <c r="B146" s="140">
        <f>D65+D69+D73</f>
        <v>40457</v>
      </c>
      <c r="C146" s="143"/>
      <c r="D146"/>
      <c r="E146"/>
      <c r="F146"/>
      <c r="G146"/>
      <c r="H146"/>
      <c r="I146" s="147" t="s">
        <v>205</v>
      </c>
      <c r="J146" s="137" t="s">
        <v>234</v>
      </c>
    </row>
    <row r="147" spans="1:10" ht="19" x14ac:dyDescent="0.25">
      <c r="A147" s="128" t="s">
        <v>195</v>
      </c>
      <c r="B147" s="140">
        <f>B145+B146</f>
        <v>749201</v>
      </c>
      <c r="C147" s="143"/>
      <c r="D147"/>
      <c r="E147"/>
      <c r="F147"/>
      <c r="G147"/>
      <c r="H147"/>
      <c r="I147" s="139" t="s">
        <v>211</v>
      </c>
    </row>
    <row r="148" spans="1:10" ht="19" x14ac:dyDescent="0.25">
      <c r="A148" s="128" t="s">
        <v>196</v>
      </c>
      <c r="B148" s="130">
        <f>D14/B146</f>
        <v>1.0480262995278938E-2</v>
      </c>
      <c r="C148" s="143"/>
      <c r="D148"/>
      <c r="E148"/>
      <c r="F148"/>
      <c r="G148"/>
      <c r="H148"/>
      <c r="I148" t="s">
        <v>219</v>
      </c>
    </row>
    <row r="149" spans="1:10" ht="19" x14ac:dyDescent="0.25">
      <c r="A149" s="131" t="s">
        <v>197</v>
      </c>
      <c r="B149" s="129">
        <v>0.05</v>
      </c>
      <c r="C149" s="142"/>
      <c r="D149"/>
      <c r="E149"/>
      <c r="F149"/>
      <c r="G149"/>
      <c r="H149"/>
      <c r="I149" s="138" t="s">
        <v>226</v>
      </c>
      <c r="J149" t="s">
        <v>206</v>
      </c>
    </row>
    <row r="150" spans="1:10" ht="19" x14ac:dyDescent="0.25">
      <c r="A150" s="131" t="s">
        <v>198</v>
      </c>
      <c r="B150" s="132">
        <v>0.02</v>
      </c>
      <c r="C150" s="142"/>
      <c r="D150"/>
      <c r="E150"/>
      <c r="F150"/>
      <c r="G150"/>
      <c r="H150"/>
      <c r="I150" s="138" t="s">
        <v>225</v>
      </c>
      <c r="J150" s="135" t="s">
        <v>229</v>
      </c>
    </row>
    <row r="151" spans="1:10" ht="19" x14ac:dyDescent="0.25">
      <c r="A151" s="128" t="s">
        <v>199</v>
      </c>
      <c r="B151" s="209">
        <f>B150+(B144*B149)</f>
        <v>6.0000000000000012E-2</v>
      </c>
      <c r="C151" s="144"/>
      <c r="D151"/>
      <c r="E151"/>
      <c r="F151"/>
      <c r="G151"/>
      <c r="H151"/>
      <c r="I151" t="s">
        <v>213</v>
      </c>
      <c r="J151" s="135" t="s">
        <v>231</v>
      </c>
    </row>
    <row r="152" spans="1:10" x14ac:dyDescent="0.2">
      <c r="A152"/>
      <c r="D152"/>
      <c r="E152"/>
      <c r="F152"/>
      <c r="G152"/>
      <c r="H152"/>
      <c r="J152" s="135" t="s">
        <v>230</v>
      </c>
    </row>
    <row r="153" spans="1:10" x14ac:dyDescent="0.2">
      <c r="A153"/>
      <c r="D153"/>
      <c r="E153"/>
      <c r="F153"/>
      <c r="G153"/>
      <c r="H153"/>
      <c r="J153" t="s">
        <v>235</v>
      </c>
    </row>
    <row r="154" spans="1:10" x14ac:dyDescent="0.2">
      <c r="A154"/>
      <c r="D154"/>
      <c r="E154"/>
      <c r="F154"/>
      <c r="G154"/>
      <c r="H154"/>
    </row>
    <row r="155" spans="1:10" x14ac:dyDescent="0.2">
      <c r="A155"/>
      <c r="D155"/>
      <c r="E155"/>
      <c r="F155"/>
      <c r="G155"/>
      <c r="H155"/>
      <c r="J155" t="s">
        <v>236</v>
      </c>
    </row>
    <row r="156" spans="1:10" x14ac:dyDescent="0.2">
      <c r="A156"/>
      <c r="D156"/>
      <c r="E156"/>
      <c r="F156"/>
      <c r="G156"/>
      <c r="H156"/>
    </row>
    <row r="157" spans="1:10" x14ac:dyDescent="0.2">
      <c r="A157"/>
      <c r="D157"/>
      <c r="E157"/>
      <c r="F157"/>
      <c r="G157"/>
      <c r="H157"/>
      <c r="J157" t="s">
        <v>214</v>
      </c>
    </row>
    <row r="158" spans="1:10" x14ac:dyDescent="0.2">
      <c r="A158"/>
      <c r="D158"/>
      <c r="E158"/>
      <c r="F158"/>
      <c r="G158"/>
      <c r="H158"/>
      <c r="J158" s="135" t="s">
        <v>238</v>
      </c>
    </row>
    <row r="159" spans="1:10" x14ac:dyDescent="0.2">
      <c r="A159"/>
      <c r="D159"/>
      <c r="E159"/>
      <c r="F159"/>
      <c r="G159"/>
      <c r="H159"/>
      <c r="J159" s="135" t="s">
        <v>237</v>
      </c>
    </row>
    <row r="160" spans="1:10" x14ac:dyDescent="0.2">
      <c r="A160"/>
      <c r="D160"/>
      <c r="E160"/>
      <c r="F160"/>
      <c r="G160"/>
      <c r="H160"/>
      <c r="J160" s="135" t="s">
        <v>239</v>
      </c>
    </row>
    <row r="161" spans="1:10" x14ac:dyDescent="0.2">
      <c r="J161" t="s">
        <v>240</v>
      </c>
    </row>
    <row r="163" spans="1:10" x14ac:dyDescent="0.2">
      <c r="H163" s="6"/>
    </row>
    <row r="164" spans="1:10" ht="17" thickBot="1" x14ac:dyDescent="0.25">
      <c r="H164" s="6"/>
    </row>
    <row r="165" spans="1:10" ht="31" thickBot="1" x14ac:dyDescent="0.4">
      <c r="A165" s="46" t="s">
        <v>241</v>
      </c>
      <c r="B165" s="595" t="s">
        <v>242</v>
      </c>
      <c r="C165" s="593"/>
      <c r="D165" s="593"/>
      <c r="E165" s="593"/>
      <c r="F165" s="593"/>
      <c r="G165" s="594"/>
      <c r="H165" s="213"/>
    </row>
    <row r="166" spans="1:10" ht="17" x14ac:dyDescent="0.2">
      <c r="A166" s="176" t="s">
        <v>162</v>
      </c>
      <c r="B166" s="196"/>
      <c r="G166" s="7"/>
    </row>
    <row r="167" spans="1:10" ht="23" customHeight="1" x14ac:dyDescent="0.25">
      <c r="A167" s="326" t="s">
        <v>276</v>
      </c>
      <c r="B167" s="182">
        <f>B121</f>
        <v>0.05</v>
      </c>
      <c r="G167" s="7"/>
    </row>
    <row r="168" spans="1:10" ht="20" x14ac:dyDescent="0.25">
      <c r="A168" s="327" t="s">
        <v>244</v>
      </c>
      <c r="B168" s="328">
        <f>B122</f>
        <v>5.718161080938227E-2</v>
      </c>
      <c r="G168" s="7"/>
    </row>
    <row r="169" spans="1:10" ht="20" x14ac:dyDescent="0.25">
      <c r="A169" s="327" t="s">
        <v>245</v>
      </c>
      <c r="B169" s="184">
        <v>2023</v>
      </c>
      <c r="C169" s="204">
        <v>2024</v>
      </c>
      <c r="D169" s="205">
        <v>2025</v>
      </c>
      <c r="E169" s="206">
        <v>2026</v>
      </c>
      <c r="F169" s="206">
        <v>2027</v>
      </c>
      <c r="G169" s="330">
        <v>2028</v>
      </c>
    </row>
    <row r="170" spans="1:10" ht="24" customHeight="1" x14ac:dyDescent="0.25">
      <c r="A170" s="329" t="s">
        <v>246</v>
      </c>
      <c r="B170" s="184"/>
      <c r="C170" s="110">
        <f>D114</f>
        <v>14974.506849999998</v>
      </c>
      <c r="D170" s="110">
        <f>E114</f>
        <v>16902.959692500008</v>
      </c>
      <c r="E170" s="110">
        <f>F114</f>
        <v>17748.107677124997</v>
      </c>
      <c r="F170" s="110">
        <f>G114</f>
        <v>18635.513060981233</v>
      </c>
      <c r="G170" s="212">
        <f>H114</f>
        <v>19567.288714030321</v>
      </c>
    </row>
    <row r="171" spans="1:10" x14ac:dyDescent="0.2">
      <c r="G171" s="7"/>
    </row>
    <row r="172" spans="1:10" ht="17" thickBot="1" x14ac:dyDescent="0.25">
      <c r="F172" s="214"/>
      <c r="G172" s="7"/>
    </row>
    <row r="173" spans="1:10" ht="20" x14ac:dyDescent="0.25">
      <c r="A173" s="240" t="s">
        <v>249</v>
      </c>
      <c r="B173" s="241"/>
      <c r="C173" s="221" t="s">
        <v>187</v>
      </c>
      <c r="D173" s="223"/>
      <c r="E173" s="242"/>
      <c r="F173" s="243">
        <f>B180</f>
        <v>2240503.5325285005</v>
      </c>
      <c r="G173" s="217"/>
    </row>
    <row r="174" spans="1:10" ht="20" thickBot="1" x14ac:dyDescent="0.3">
      <c r="A174" s="244"/>
      <c r="B174" s="225"/>
      <c r="C174" s="245" t="s">
        <v>260</v>
      </c>
      <c r="D174" s="227"/>
      <c r="E174" s="246"/>
      <c r="F174" s="247">
        <v>0</v>
      </c>
      <c r="G174" s="217"/>
    </row>
    <row r="175" spans="1:10" ht="20" x14ac:dyDescent="0.25">
      <c r="A175" s="248" t="s">
        <v>247</v>
      </c>
      <c r="B175" s="249">
        <f>G124*(1+B121)/(B168-B167)</f>
        <v>2860869.754023762</v>
      </c>
      <c r="C175" s="229" t="s">
        <v>261</v>
      </c>
      <c r="D175" s="230"/>
      <c r="E175" s="231"/>
      <c r="F175" s="250">
        <f>B180</f>
        <v>2240503.5325285005</v>
      </c>
      <c r="G175" s="7"/>
    </row>
    <row r="176" spans="1:10" ht="20" x14ac:dyDescent="0.25">
      <c r="A176" s="251" t="s">
        <v>248</v>
      </c>
      <c r="B176" s="252"/>
      <c r="C176" s="253" t="s">
        <v>262</v>
      </c>
      <c r="D176" s="254"/>
      <c r="E176" s="255"/>
      <c r="F176" s="250">
        <v>40460</v>
      </c>
      <c r="G176" s="7"/>
    </row>
    <row r="177" spans="1:16" ht="21" thickBot="1" x14ac:dyDescent="0.3">
      <c r="A177" s="191" t="s">
        <v>277</v>
      </c>
      <c r="B177" s="256">
        <f>B136</f>
        <v>2166457.0591331101</v>
      </c>
      <c r="C177" s="257" t="s">
        <v>263</v>
      </c>
      <c r="D177" s="258"/>
      <c r="E177" s="259"/>
      <c r="F177" s="260">
        <v>87.44</v>
      </c>
      <c r="G177" s="217"/>
    </row>
    <row r="178" spans="1:16" ht="20" x14ac:dyDescent="0.25">
      <c r="A178" s="215" t="s">
        <v>250</v>
      </c>
      <c r="B178" s="256">
        <f>B131+B132+B133+B134+B135</f>
        <v>74046.473395390276</v>
      </c>
      <c r="C178" s="229" t="s">
        <v>264</v>
      </c>
      <c r="D178" s="230"/>
      <c r="E178" s="231"/>
      <c r="F178" s="260">
        <f>(B180)-(F176+F177)</f>
        <v>2199956.0925285006</v>
      </c>
      <c r="G178" s="217"/>
    </row>
    <row r="179" spans="1:16" ht="20" thickBot="1" x14ac:dyDescent="0.3">
      <c r="A179" s="261"/>
      <c r="B179" s="262"/>
      <c r="C179" s="257" t="s">
        <v>265</v>
      </c>
      <c r="D179" s="258"/>
      <c r="E179" s="259"/>
      <c r="F179" s="263">
        <v>8108</v>
      </c>
      <c r="G179" s="7"/>
    </row>
    <row r="180" spans="1:16" ht="21" thickBot="1" x14ac:dyDescent="0.3">
      <c r="A180" s="216" t="s">
        <v>248</v>
      </c>
      <c r="B180" s="264">
        <f>SUM(B177+B178)</f>
        <v>2240503.5325285005</v>
      </c>
      <c r="C180" s="234" t="s">
        <v>266</v>
      </c>
      <c r="D180" s="235"/>
      <c r="E180" s="236"/>
      <c r="F180" s="265">
        <f>F178/F179</f>
        <v>271.33153583232615</v>
      </c>
      <c r="G180" s="218"/>
    </row>
    <row r="183" spans="1:16" ht="17" thickBot="1" x14ac:dyDescent="0.25"/>
    <row r="184" spans="1:16" ht="31" thickBot="1" x14ac:dyDescent="0.4">
      <c r="A184" s="46" t="s">
        <v>293</v>
      </c>
      <c r="B184" s="595" t="s">
        <v>294</v>
      </c>
      <c r="C184" s="593"/>
      <c r="D184" s="593"/>
      <c r="E184" s="593"/>
      <c r="F184" s="593"/>
      <c r="G184" s="593"/>
      <c r="H184" s="593"/>
      <c r="I184" s="211"/>
    </row>
    <row r="185" spans="1:16" ht="20" thickBot="1" x14ac:dyDescent="0.3">
      <c r="A185" s="266"/>
      <c r="B185" s="602" t="s">
        <v>164</v>
      </c>
      <c r="C185" s="604" t="s">
        <v>287</v>
      </c>
      <c r="D185" s="606" t="s">
        <v>291</v>
      </c>
      <c r="E185" s="606" t="s">
        <v>292</v>
      </c>
      <c r="F185" s="606" t="s">
        <v>290</v>
      </c>
      <c r="G185" s="606" t="s">
        <v>289</v>
      </c>
      <c r="H185" s="606" t="s">
        <v>288</v>
      </c>
    </row>
    <row r="186" spans="1:16" ht="85.25" customHeight="1" thickBot="1" x14ac:dyDescent="0.3">
      <c r="A186" s="267" t="s">
        <v>278</v>
      </c>
      <c r="B186" s="603"/>
      <c r="C186" s="605"/>
      <c r="D186" s="607"/>
      <c r="E186" s="607"/>
      <c r="F186" s="607"/>
      <c r="G186" s="607"/>
      <c r="H186" s="606"/>
      <c r="I186" s="126"/>
      <c r="J186" s="1"/>
      <c r="K186" s="1"/>
      <c r="L186" s="1"/>
      <c r="M186" s="1"/>
      <c r="N186" s="1"/>
      <c r="O186" s="1"/>
      <c r="P186" s="1"/>
    </row>
    <row r="187" spans="1:16" ht="20" x14ac:dyDescent="0.25">
      <c r="A187" s="268" t="s">
        <v>279</v>
      </c>
      <c r="B187" s="269">
        <f>B121</f>
        <v>0.05</v>
      </c>
      <c r="C187" s="270">
        <v>0.1</v>
      </c>
      <c r="D187" s="271">
        <v>0.05</v>
      </c>
      <c r="E187" s="271">
        <v>0.05</v>
      </c>
      <c r="F187" s="270">
        <v>0.1</v>
      </c>
      <c r="G187" s="270">
        <v>0.1</v>
      </c>
      <c r="H187" s="272">
        <v>0.1</v>
      </c>
    </row>
    <row r="188" spans="1:16" ht="20" x14ac:dyDescent="0.25">
      <c r="A188" s="273" t="s">
        <v>280</v>
      </c>
      <c r="B188" s="274">
        <f>B121</f>
        <v>0.05</v>
      </c>
      <c r="C188" s="275">
        <v>0.1</v>
      </c>
      <c r="D188" s="276">
        <v>0.05</v>
      </c>
      <c r="E188" s="276">
        <v>0.05</v>
      </c>
      <c r="F188" s="275">
        <v>0.1</v>
      </c>
      <c r="G188" s="275">
        <v>0.1</v>
      </c>
      <c r="H188" s="277">
        <v>0.1</v>
      </c>
    </row>
    <row r="189" spans="1:16" ht="20" x14ac:dyDescent="0.25">
      <c r="A189" s="278" t="s">
        <v>281</v>
      </c>
      <c r="B189" s="279">
        <f>B121</f>
        <v>0.05</v>
      </c>
      <c r="C189" s="280">
        <v>0.1</v>
      </c>
      <c r="D189" s="281">
        <v>0.05</v>
      </c>
      <c r="E189" s="281">
        <v>0.05</v>
      </c>
      <c r="F189" s="280">
        <v>0.1</v>
      </c>
      <c r="G189" s="280">
        <v>0.1</v>
      </c>
      <c r="H189" s="272">
        <v>0.1</v>
      </c>
    </row>
    <row r="190" spans="1:16" ht="20" x14ac:dyDescent="0.25">
      <c r="A190" s="273" t="s">
        <v>282</v>
      </c>
      <c r="B190" s="274">
        <f>B121</f>
        <v>0.05</v>
      </c>
      <c r="C190" s="275">
        <v>0.1</v>
      </c>
      <c r="D190" s="276">
        <v>0.05</v>
      </c>
      <c r="E190" s="276">
        <v>0.05</v>
      </c>
      <c r="F190" s="275">
        <v>0.1</v>
      </c>
      <c r="G190" s="275">
        <v>0.1</v>
      </c>
      <c r="H190" s="277">
        <v>0.1</v>
      </c>
    </row>
    <row r="191" spans="1:16" ht="20" x14ac:dyDescent="0.25">
      <c r="A191" s="278" t="s">
        <v>283</v>
      </c>
      <c r="B191" s="282">
        <f>C105</f>
        <v>3.1E-2</v>
      </c>
      <c r="C191" s="283">
        <f>B191</f>
        <v>3.1E-2</v>
      </c>
      <c r="D191" s="284">
        <v>0.06</v>
      </c>
      <c r="E191" s="283">
        <v>3.1E-2</v>
      </c>
      <c r="F191" s="285">
        <v>0.06</v>
      </c>
      <c r="G191" s="286">
        <v>3.1E-2</v>
      </c>
      <c r="H191" s="287">
        <v>0.06</v>
      </c>
    </row>
    <row r="192" spans="1:16" ht="20" x14ac:dyDescent="0.25">
      <c r="A192" s="273" t="s">
        <v>284</v>
      </c>
      <c r="B192" s="274">
        <f>C106</f>
        <v>0.15</v>
      </c>
      <c r="C192" s="276">
        <f>B192</f>
        <v>0.15</v>
      </c>
      <c r="D192" s="276">
        <v>0.15</v>
      </c>
      <c r="E192" s="288">
        <v>7.4999999999999997E-2</v>
      </c>
      <c r="F192" s="276">
        <v>0.15</v>
      </c>
      <c r="G192" s="288">
        <v>7.4999999999999997E-2</v>
      </c>
      <c r="H192" s="289">
        <v>7.4999999999999997E-2</v>
      </c>
    </row>
    <row r="193" spans="1:9" ht="21" thickBot="1" x14ac:dyDescent="0.3">
      <c r="A193" s="290" t="s">
        <v>244</v>
      </c>
      <c r="B193" s="291">
        <f>B122</f>
        <v>5.718161080938227E-2</v>
      </c>
      <c r="C193" s="292">
        <f>B193</f>
        <v>5.718161080938227E-2</v>
      </c>
      <c r="D193" s="292">
        <v>5.7000000000000002E-2</v>
      </c>
      <c r="E193" s="292">
        <v>0.06</v>
      </c>
      <c r="F193" s="292">
        <v>0.06</v>
      </c>
      <c r="G193" s="292">
        <v>0.06</v>
      </c>
      <c r="H193" s="293">
        <v>0.06</v>
      </c>
    </row>
    <row r="194" spans="1:9" ht="20" x14ac:dyDescent="0.25">
      <c r="A194" s="294" t="s">
        <v>285</v>
      </c>
      <c r="B194" s="600"/>
      <c r="C194" s="600"/>
      <c r="D194" s="600"/>
      <c r="E194" s="600"/>
      <c r="F194" s="600"/>
      <c r="G194" s="600"/>
      <c r="H194" s="601"/>
    </row>
    <row r="195" spans="1:9" ht="20" x14ac:dyDescent="0.25">
      <c r="A195" s="295" t="s">
        <v>187</v>
      </c>
      <c r="B195" s="296">
        <f>B138</f>
        <v>2240503.5325285005</v>
      </c>
      <c r="C195" s="417">
        <v>20510594</v>
      </c>
      <c r="D195" s="297">
        <v>4965282</v>
      </c>
      <c r="E195" s="297">
        <v>2596248</v>
      </c>
      <c r="F195" s="297">
        <v>5479853</v>
      </c>
      <c r="G195" s="297">
        <v>2903202</v>
      </c>
      <c r="H195" s="298">
        <v>6331461</v>
      </c>
    </row>
    <row r="196" spans="1:9" ht="20" x14ac:dyDescent="0.25">
      <c r="A196" s="299" t="s">
        <v>242</v>
      </c>
      <c r="B196" s="300">
        <f>F180</f>
        <v>271.33153583232615</v>
      </c>
      <c r="C196" s="301">
        <v>248</v>
      </c>
      <c r="D196" s="302">
        <v>607</v>
      </c>
      <c r="E196" s="302">
        <v>315</v>
      </c>
      <c r="F196" s="302">
        <v>671</v>
      </c>
      <c r="G196" s="302">
        <v>353</v>
      </c>
      <c r="H196" s="303">
        <v>776</v>
      </c>
    </row>
    <row r="197" spans="1:9" ht="21" thickBot="1" x14ac:dyDescent="0.3">
      <c r="A197" s="304" t="s">
        <v>286</v>
      </c>
      <c r="B197" s="305">
        <f>D116</f>
        <v>0.20666666666666664</v>
      </c>
      <c r="C197" s="306">
        <v>0.21</v>
      </c>
      <c r="D197" s="307">
        <v>0.4</v>
      </c>
      <c r="E197" s="307">
        <v>0.39</v>
      </c>
      <c r="F197" s="307">
        <v>0.4</v>
      </c>
      <c r="G197" s="307">
        <v>0.41</v>
      </c>
      <c r="H197" s="308">
        <v>0.8</v>
      </c>
    </row>
    <row r="199" spans="1:9" ht="17" x14ac:dyDescent="0.2">
      <c r="A199" s="176" t="s">
        <v>296</v>
      </c>
      <c r="B199" s="176"/>
      <c r="C199" s="176"/>
      <c r="D199" s="176"/>
      <c r="E199" s="176"/>
      <c r="F199" s="176"/>
      <c r="G199" s="176"/>
      <c r="H199" s="176"/>
    </row>
    <row r="200" spans="1:9" ht="23" customHeight="1" x14ac:dyDescent="0.2">
      <c r="A200" s="587" t="s">
        <v>297</v>
      </c>
      <c r="B200" s="587"/>
      <c r="C200" s="587"/>
      <c r="D200" s="587"/>
      <c r="E200" s="587"/>
      <c r="F200" s="587"/>
      <c r="G200" s="587"/>
      <c r="H200" s="587"/>
    </row>
    <row r="201" spans="1:9" ht="35" customHeight="1" x14ac:dyDescent="0.2">
      <c r="A201" s="587" t="s">
        <v>298</v>
      </c>
      <c r="B201" s="587"/>
      <c r="C201" s="587"/>
      <c r="D201" s="587"/>
      <c r="E201" s="587"/>
      <c r="F201" s="587"/>
      <c r="G201" s="587"/>
      <c r="H201" s="587"/>
    </row>
    <row r="202" spans="1:9" ht="48" customHeight="1" x14ac:dyDescent="0.2">
      <c r="A202" s="587" t="s">
        <v>299</v>
      </c>
      <c r="B202" s="587"/>
      <c r="C202" s="587"/>
      <c r="D202" s="587"/>
      <c r="E202" s="587"/>
      <c r="F202" s="587"/>
      <c r="G202" s="587"/>
      <c r="H202" s="587"/>
    </row>
    <row r="203" spans="1:9" ht="36" customHeight="1" x14ac:dyDescent="0.2">
      <c r="A203" s="587" t="s">
        <v>302</v>
      </c>
      <c r="B203" s="587"/>
      <c r="C203" s="587"/>
      <c r="D203" s="587"/>
      <c r="E203" s="587"/>
      <c r="F203" s="587"/>
      <c r="G203" s="587"/>
      <c r="H203" s="587"/>
    </row>
    <row r="204" spans="1:9" ht="33" customHeight="1" x14ac:dyDescent="0.2">
      <c r="A204" s="587" t="s">
        <v>303</v>
      </c>
      <c r="B204" s="587"/>
      <c r="C204" s="587"/>
      <c r="D204" s="587"/>
      <c r="E204" s="587"/>
      <c r="F204" s="587"/>
      <c r="G204" s="587"/>
      <c r="H204" s="587"/>
    </row>
    <row r="206" spans="1:9" ht="17" thickBot="1" x14ac:dyDescent="0.25"/>
    <row r="207" spans="1:9" ht="59" customHeight="1" thickBot="1" x14ac:dyDescent="0.4">
      <c r="A207" s="336" t="s">
        <v>304</v>
      </c>
      <c r="B207" s="577" t="s">
        <v>305</v>
      </c>
      <c r="C207" s="577"/>
      <c r="D207" s="577"/>
      <c r="E207" s="577"/>
      <c r="F207" s="578"/>
      <c r="G207" s="6"/>
      <c r="H207" s="6"/>
      <c r="I207" s="6"/>
    </row>
    <row r="208" spans="1:9" ht="17" x14ac:dyDescent="0.2">
      <c r="A208" s="344" t="s">
        <v>162</v>
      </c>
      <c r="B208" s="345"/>
      <c r="C208" s="345"/>
      <c r="D208" s="345"/>
      <c r="E208" s="345"/>
      <c r="F208" s="346"/>
      <c r="G208" s="335"/>
      <c r="H208" s="335"/>
    </row>
    <row r="209" spans="1:8" ht="17" x14ac:dyDescent="0.2">
      <c r="A209" s="337" t="s">
        <v>307</v>
      </c>
      <c r="B209" s="375">
        <f>D45</f>
        <v>0.76</v>
      </c>
      <c r="C209" s="579" t="s">
        <v>312</v>
      </c>
      <c r="D209" s="579"/>
      <c r="E209" s="579"/>
      <c r="F209" s="580"/>
      <c r="G209" s="138"/>
      <c r="H209" s="138"/>
    </row>
    <row r="210" spans="1:8" ht="17" x14ac:dyDescent="0.2">
      <c r="A210" s="337" t="s">
        <v>306</v>
      </c>
      <c r="B210" s="194">
        <f>B150+(B144*B149)</f>
        <v>6.0000000000000012E-2</v>
      </c>
      <c r="C210" s="579" t="s">
        <v>313</v>
      </c>
      <c r="D210" s="579"/>
      <c r="E210" s="579"/>
      <c r="F210" s="580"/>
      <c r="G210" s="138"/>
      <c r="H210" s="138"/>
    </row>
    <row r="211" spans="1:8" ht="17" x14ac:dyDescent="0.2">
      <c r="A211" s="337" t="s">
        <v>308</v>
      </c>
      <c r="B211" s="194">
        <v>1.9474</v>
      </c>
      <c r="C211" s="579" t="s">
        <v>314</v>
      </c>
      <c r="D211" s="579"/>
      <c r="E211" s="579"/>
      <c r="F211" s="580"/>
      <c r="G211" s="138"/>
      <c r="H211" s="138"/>
    </row>
    <row r="212" spans="1:8" ht="17" x14ac:dyDescent="0.2">
      <c r="A212" s="337" t="s">
        <v>309</v>
      </c>
      <c r="B212" s="194">
        <v>1.7899999999999999E-2</v>
      </c>
      <c r="C212" s="579" t="s">
        <v>315</v>
      </c>
      <c r="D212" s="579"/>
      <c r="E212" s="579"/>
      <c r="F212" s="580"/>
      <c r="G212" s="138"/>
      <c r="H212" s="138"/>
    </row>
    <row r="213" spans="1:8" ht="17" x14ac:dyDescent="0.2">
      <c r="A213" s="337" t="s">
        <v>310</v>
      </c>
      <c r="B213" s="194">
        <v>1.8200000000000001E-2</v>
      </c>
      <c r="C213" s="579" t="s">
        <v>316</v>
      </c>
      <c r="D213" s="579"/>
      <c r="E213" s="579"/>
      <c r="F213" s="580"/>
      <c r="G213" s="138"/>
      <c r="H213" s="138"/>
    </row>
    <row r="214" spans="1:8" ht="18" thickBot="1" x14ac:dyDescent="0.25">
      <c r="A214" s="347" t="s">
        <v>311</v>
      </c>
      <c r="B214" s="391">
        <v>0.04</v>
      </c>
      <c r="C214" s="582" t="s">
        <v>317</v>
      </c>
      <c r="D214" s="582"/>
      <c r="E214" s="582"/>
      <c r="F214" s="583"/>
      <c r="G214" s="138"/>
      <c r="H214" s="138"/>
    </row>
    <row r="215" spans="1:8" x14ac:dyDescent="0.2">
      <c r="A215" s="584" t="s">
        <v>165</v>
      </c>
      <c r="B215" s="585"/>
      <c r="C215" s="585"/>
      <c r="D215" s="585"/>
      <c r="E215" s="585"/>
      <c r="F215" s="586"/>
      <c r="G215" s="332"/>
      <c r="H215" s="332"/>
    </row>
    <row r="216" spans="1:8" ht="17" x14ac:dyDescent="0.2">
      <c r="A216" s="348" t="s">
        <v>245</v>
      </c>
      <c r="B216" s="338">
        <v>0</v>
      </c>
      <c r="C216" s="338">
        <v>1</v>
      </c>
      <c r="D216" s="338">
        <v>2</v>
      </c>
      <c r="E216" s="338">
        <v>3</v>
      </c>
      <c r="F216" s="349" t="s">
        <v>339</v>
      </c>
      <c r="G216" s="6"/>
      <c r="H216" s="6"/>
    </row>
    <row r="217" spans="1:8" ht="17" x14ac:dyDescent="0.2">
      <c r="A217" s="348" t="s">
        <v>318</v>
      </c>
      <c r="B217" s="339"/>
      <c r="C217" s="392">
        <v>1.9474</v>
      </c>
      <c r="D217" s="392">
        <v>1.7899999999999999E-2</v>
      </c>
      <c r="E217" s="392">
        <v>1.8200000000000001E-2</v>
      </c>
      <c r="F217" s="360">
        <v>0.04</v>
      </c>
      <c r="G217" s="6"/>
      <c r="H217" s="6"/>
    </row>
    <row r="218" spans="1:8" ht="17" x14ac:dyDescent="0.2">
      <c r="A218" s="348" t="s">
        <v>319</v>
      </c>
      <c r="B218" s="338" t="s">
        <v>321</v>
      </c>
      <c r="C218" s="338" t="s">
        <v>322</v>
      </c>
      <c r="D218" s="338" t="s">
        <v>323</v>
      </c>
      <c r="E218" s="338" t="s">
        <v>338</v>
      </c>
      <c r="F218" s="350"/>
      <c r="G218" s="6"/>
      <c r="H218" s="6"/>
    </row>
    <row r="219" spans="1:8" ht="17" x14ac:dyDescent="0.2">
      <c r="A219" s="348" t="s">
        <v>320</v>
      </c>
      <c r="B219" s="338">
        <f>B209</f>
        <v>0.76</v>
      </c>
      <c r="C219" s="362">
        <f>B219*(1+B211)</f>
        <v>2.240024</v>
      </c>
      <c r="D219" s="363">
        <f>C219*(1+B212)</f>
        <v>2.2801204296000002</v>
      </c>
      <c r="E219" s="363">
        <f>D219*(1+B213)</f>
        <v>2.32161862141872</v>
      </c>
      <c r="F219" s="7"/>
      <c r="G219" s="6"/>
      <c r="H219" s="6"/>
    </row>
    <row r="220" spans="1:8" x14ac:dyDescent="0.2">
      <c r="A220" s="8"/>
      <c r="D220" s="6"/>
      <c r="E220" s="6"/>
      <c r="F220" s="7"/>
      <c r="G220" s="6"/>
      <c r="H220" s="6"/>
    </row>
    <row r="221" spans="1:8" x14ac:dyDescent="0.2">
      <c r="A221" s="8"/>
      <c r="D221" s="6"/>
      <c r="E221" s="6"/>
      <c r="F221" s="7"/>
      <c r="G221" s="6"/>
      <c r="H221" s="6"/>
    </row>
    <row r="222" spans="1:8" ht="17" thickBot="1" x14ac:dyDescent="0.25">
      <c r="A222" s="8"/>
      <c r="C222" s="341" t="s">
        <v>325</v>
      </c>
      <c r="D222" s="342" t="s">
        <v>326</v>
      </c>
      <c r="E222" s="342" t="s">
        <v>327</v>
      </c>
      <c r="F222" s="7"/>
      <c r="G222" s="6"/>
      <c r="H222" s="6"/>
    </row>
    <row r="223" spans="1:8" x14ac:dyDescent="0.2">
      <c r="A223" s="8"/>
      <c r="C223" s="340" t="s">
        <v>328</v>
      </c>
      <c r="D223" s="340" t="s">
        <v>329</v>
      </c>
      <c r="E223" s="340" t="s">
        <v>330</v>
      </c>
      <c r="F223" s="351" t="s">
        <v>331</v>
      </c>
      <c r="G223" s="6"/>
      <c r="H223" s="6"/>
    </row>
    <row r="224" spans="1:8" x14ac:dyDescent="0.2">
      <c r="A224" s="8"/>
      <c r="C224" s="333"/>
      <c r="D224" s="334"/>
      <c r="E224" s="334"/>
      <c r="F224" s="7"/>
      <c r="G224" s="6"/>
      <c r="H224" s="6"/>
    </row>
    <row r="225" spans="1:8" ht="17" thickBot="1" x14ac:dyDescent="0.25">
      <c r="A225" s="8"/>
      <c r="C225" s="333"/>
      <c r="D225" s="334"/>
      <c r="E225" s="581" t="s">
        <v>332</v>
      </c>
      <c r="F225" s="352" t="s">
        <v>334</v>
      </c>
      <c r="G225" s="6"/>
      <c r="H225" s="6"/>
    </row>
    <row r="226" spans="1:8" x14ac:dyDescent="0.2">
      <c r="A226" s="8"/>
      <c r="C226" s="333"/>
      <c r="D226" s="334"/>
      <c r="E226" s="581"/>
      <c r="F226" s="353" t="s">
        <v>333</v>
      </c>
      <c r="G226" s="6"/>
      <c r="H226" s="6"/>
    </row>
    <row r="227" spans="1:8" x14ac:dyDescent="0.2">
      <c r="A227" s="8"/>
      <c r="C227" s="333"/>
      <c r="D227" s="334"/>
      <c r="E227" s="334"/>
      <c r="F227" s="7"/>
      <c r="G227" s="6"/>
      <c r="H227" s="6"/>
    </row>
    <row r="228" spans="1:8" ht="17" thickBot="1" x14ac:dyDescent="0.25">
      <c r="A228" s="8"/>
      <c r="D228" s="6"/>
      <c r="E228" s="581" t="s">
        <v>332</v>
      </c>
      <c r="F228" s="369">
        <f>E219*(1+B214)</f>
        <v>2.4144833662754688</v>
      </c>
      <c r="G228" s="6"/>
      <c r="H228" s="6"/>
    </row>
    <row r="229" spans="1:8" x14ac:dyDescent="0.2">
      <c r="A229" s="574" t="s">
        <v>337</v>
      </c>
      <c r="B229" s="364">
        <f>C219/(1+B210)</f>
        <v>2.1132301886792453</v>
      </c>
      <c r="D229" s="6"/>
      <c r="E229" s="581"/>
      <c r="F229" s="368">
        <f>(B210-B214)</f>
        <v>2.0000000000000011E-2</v>
      </c>
      <c r="G229" s="6"/>
      <c r="H229" s="6"/>
    </row>
    <row r="230" spans="1:8" x14ac:dyDescent="0.2">
      <c r="A230" s="575"/>
      <c r="B230" s="365">
        <f>D219/(1+B210)*(1+B210)</f>
        <v>2.2801204296000002</v>
      </c>
      <c r="D230" s="6"/>
      <c r="E230" s="6"/>
      <c r="F230" s="7"/>
      <c r="G230" s="6"/>
      <c r="H230" s="6"/>
    </row>
    <row r="231" spans="1:8" ht="17" thickBot="1" x14ac:dyDescent="0.25">
      <c r="A231" s="576"/>
      <c r="B231" s="366">
        <f>E219/(1+B210)*(1+B210)*(1+B210)</f>
        <v>2.4609157387038434</v>
      </c>
      <c r="D231" s="6"/>
      <c r="E231" s="343" t="s">
        <v>332</v>
      </c>
      <c r="F231" s="370">
        <f>F228/F229</f>
        <v>120.72416831377338</v>
      </c>
      <c r="G231" s="6"/>
      <c r="H231" s="6"/>
    </row>
    <row r="232" spans="1:8" x14ac:dyDescent="0.2">
      <c r="A232" s="8"/>
      <c r="D232" s="6"/>
      <c r="E232" s="331"/>
      <c r="F232" s="7"/>
      <c r="G232" s="6"/>
      <c r="H232" s="6"/>
    </row>
    <row r="233" spans="1:8" ht="17" x14ac:dyDescent="0.2">
      <c r="A233" s="354" t="s">
        <v>336</v>
      </c>
      <c r="B233" s="373">
        <f>D234/D235</f>
        <v>101.36233964428131</v>
      </c>
      <c r="D233" s="6"/>
      <c r="E233" s="6"/>
      <c r="F233" s="7"/>
      <c r="G233" s="6"/>
      <c r="H233" s="6"/>
    </row>
    <row r="234" spans="1:8" ht="17" thickBot="1" x14ac:dyDescent="0.25">
      <c r="A234" s="8"/>
      <c r="D234" s="371">
        <f>F231</f>
        <v>120.72416831377338</v>
      </c>
      <c r="E234" s="6"/>
      <c r="F234" s="352" t="s">
        <v>335</v>
      </c>
      <c r="G234" s="6"/>
      <c r="H234" s="6"/>
    </row>
    <row r="235" spans="1:8" ht="18" thickBot="1" x14ac:dyDescent="0.25">
      <c r="A235" s="356" t="s">
        <v>174</v>
      </c>
      <c r="B235" s="374">
        <f>B229+B230+B231+B233</f>
        <v>108.2166060012644</v>
      </c>
      <c r="C235" s="197"/>
      <c r="D235" s="372">
        <f>(1+B210)*(1+B210)*(1+B210)</f>
        <v>1.1910160000000003</v>
      </c>
      <c r="E235" s="214"/>
      <c r="F235" s="355" t="s">
        <v>330</v>
      </c>
      <c r="G235" s="6"/>
      <c r="H235" s="6"/>
    </row>
    <row r="244" spans="1:10" ht="17" thickBot="1" x14ac:dyDescent="0.25">
      <c r="B244" s="2"/>
      <c r="C244" s="2"/>
    </row>
    <row r="245" spans="1:10" ht="60" x14ac:dyDescent="0.35">
      <c r="A245" s="336" t="s">
        <v>353</v>
      </c>
      <c r="B245" s="2"/>
      <c r="C245" s="2"/>
    </row>
    <row r="246" spans="1:10" ht="20" x14ac:dyDescent="0.2">
      <c r="A246" s="388" t="s">
        <v>340</v>
      </c>
      <c r="B246" s="388" t="s">
        <v>341</v>
      </c>
    </row>
    <row r="247" spans="1:10" ht="100" x14ac:dyDescent="0.2">
      <c r="A247" s="389" t="s">
        <v>343</v>
      </c>
      <c r="B247" s="390" t="s">
        <v>344</v>
      </c>
    </row>
    <row r="248" spans="1:10" ht="80" x14ac:dyDescent="0.2">
      <c r="A248" s="389" t="s">
        <v>346</v>
      </c>
      <c r="B248" s="390" t="s">
        <v>347</v>
      </c>
    </row>
    <row r="249" spans="1:10" ht="80" x14ac:dyDescent="0.2">
      <c r="A249" s="389" t="s">
        <v>349</v>
      </c>
      <c r="B249" s="390" t="s">
        <v>350</v>
      </c>
    </row>
    <row r="251" spans="1:10" ht="20" x14ac:dyDescent="0.25">
      <c r="A251" s="149" t="s">
        <v>352</v>
      </c>
    </row>
    <row r="252" spans="1:10" ht="230" x14ac:dyDescent="0.3">
      <c r="A252" s="387" t="s">
        <v>354</v>
      </c>
      <c r="B252" s="1"/>
      <c r="C252" s="1"/>
      <c r="D252" s="386"/>
      <c r="E252" s="386"/>
      <c r="F252" s="386"/>
      <c r="G252" s="386"/>
      <c r="H252" s="386"/>
      <c r="I252" s="126"/>
      <c r="J252" s="1"/>
    </row>
    <row r="253" spans="1:10" x14ac:dyDescent="0.2">
      <c r="A253"/>
    </row>
    <row r="254" spans="1:10" x14ac:dyDescent="0.2">
      <c r="A254"/>
    </row>
    <row r="255" spans="1:10" x14ac:dyDescent="0.2">
      <c r="A255"/>
    </row>
    <row r="256" spans="1:10" x14ac:dyDescent="0.2">
      <c r="A256"/>
    </row>
  </sheetData>
  <mergeCells count="35">
    <mergeCell ref="B165:G165"/>
    <mergeCell ref="B194:H194"/>
    <mergeCell ref="B185:B186"/>
    <mergeCell ref="C185:C186"/>
    <mergeCell ref="D185:D186"/>
    <mergeCell ref="E185:E186"/>
    <mergeCell ref="G185:G186"/>
    <mergeCell ref="H185:H186"/>
    <mergeCell ref="B184:H184"/>
    <mergeCell ref="F185:F186"/>
    <mergeCell ref="A131:A135"/>
    <mergeCell ref="M131:M135"/>
    <mergeCell ref="O122:S122"/>
    <mergeCell ref="B1:H1"/>
    <mergeCell ref="B90:H90"/>
    <mergeCell ref="B101:H101"/>
    <mergeCell ref="N119:T119"/>
    <mergeCell ref="B119:H119"/>
    <mergeCell ref="C122:G122"/>
    <mergeCell ref="A200:H200"/>
    <mergeCell ref="A201:H201"/>
    <mergeCell ref="A202:H202"/>
    <mergeCell ref="A203:H203"/>
    <mergeCell ref="A204:H204"/>
    <mergeCell ref="A229:A231"/>
    <mergeCell ref="B207:F207"/>
    <mergeCell ref="C209:F209"/>
    <mergeCell ref="C210:F210"/>
    <mergeCell ref="C211:F211"/>
    <mergeCell ref="C212:F212"/>
    <mergeCell ref="E228:E229"/>
    <mergeCell ref="C213:F213"/>
    <mergeCell ref="C214:F214"/>
    <mergeCell ref="A215:F215"/>
    <mergeCell ref="E225:E2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D4E7-5DF4-4A7E-9ABC-179622986F5A}">
  <dimension ref="A1:G61"/>
  <sheetViews>
    <sheetView topLeftCell="A34" zoomScale="120" zoomScaleNormal="120" workbookViewId="0">
      <selection activeCell="E59" sqref="E59"/>
    </sheetView>
  </sheetViews>
  <sheetFormatPr baseColWidth="10" defaultColWidth="8.83203125" defaultRowHeight="16" x14ac:dyDescent="0.2"/>
  <cols>
    <col min="1" max="1" width="26.6640625" customWidth="1"/>
    <col min="3" max="3" width="14.5" style="333" bestFit="1" customWidth="1"/>
    <col min="4" max="4" width="28" bestFit="1" customWidth="1"/>
    <col min="5" max="5" width="14.6640625" style="333" customWidth="1"/>
  </cols>
  <sheetData>
    <row r="1" spans="1:6" ht="20" x14ac:dyDescent="0.2">
      <c r="A1" s="620" t="s">
        <v>466</v>
      </c>
      <c r="B1" s="620"/>
      <c r="C1" s="620"/>
      <c r="D1" s="620"/>
      <c r="E1" s="620"/>
    </row>
    <row r="2" spans="1:6" ht="21" thickBot="1" x14ac:dyDescent="0.25">
      <c r="A2" s="449"/>
      <c r="B2" s="449"/>
      <c r="C2" s="449"/>
      <c r="D2" s="449"/>
      <c r="E2" s="449"/>
    </row>
    <row r="3" spans="1:6" ht="17" thickBot="1" x14ac:dyDescent="0.25">
      <c r="A3" s="418" t="s">
        <v>164</v>
      </c>
      <c r="B3" s="5"/>
      <c r="C3" s="435"/>
      <c r="D3" s="5"/>
      <c r="E3" s="419"/>
    </row>
    <row r="4" spans="1:6" ht="17" thickBot="1" x14ac:dyDescent="0.25">
      <c r="A4" s="444" t="s">
        <v>384</v>
      </c>
      <c r="B4" s="445"/>
      <c r="C4" s="446" t="s">
        <v>402</v>
      </c>
      <c r="D4" s="445"/>
      <c r="E4" s="447" t="s">
        <v>403</v>
      </c>
    </row>
    <row r="5" spans="1:6" x14ac:dyDescent="0.2">
      <c r="A5" s="420" t="s">
        <v>78</v>
      </c>
      <c r="C5" s="441">
        <v>2024</v>
      </c>
      <c r="D5" s="442" t="s">
        <v>498</v>
      </c>
      <c r="E5" s="443">
        <v>2025</v>
      </c>
    </row>
    <row r="6" spans="1:6" x14ac:dyDescent="0.2">
      <c r="A6" s="13" t="s">
        <v>385</v>
      </c>
      <c r="C6" s="451">
        <v>9867</v>
      </c>
      <c r="D6" t="s">
        <v>433</v>
      </c>
      <c r="E6" s="459">
        <f>E33*0.02</f>
        <v>14258.75</v>
      </c>
      <c r="F6" t="s">
        <v>472</v>
      </c>
    </row>
    <row r="7" spans="1:6" x14ac:dyDescent="0.2">
      <c r="A7" s="453" t="s">
        <v>386</v>
      </c>
      <c r="C7" s="450">
        <v>0</v>
      </c>
      <c r="D7" s="422" t="s">
        <v>404</v>
      </c>
      <c r="E7" s="460">
        <v>0</v>
      </c>
    </row>
    <row r="8" spans="1:6" x14ac:dyDescent="0.2">
      <c r="A8" s="13" t="s">
        <v>387</v>
      </c>
      <c r="C8" s="451">
        <v>8796</v>
      </c>
      <c r="D8" t="s">
        <v>434</v>
      </c>
      <c r="E8" s="460">
        <f>E33*0.1</f>
        <v>71293.75</v>
      </c>
      <c r="F8" t="s">
        <v>469</v>
      </c>
    </row>
    <row r="9" spans="1:6" x14ac:dyDescent="0.2">
      <c r="A9" s="13" t="s">
        <v>3</v>
      </c>
      <c r="C9" s="334">
        <v>54892</v>
      </c>
      <c r="D9" t="s">
        <v>435</v>
      </c>
      <c r="E9" s="460">
        <f>E33*0.2</f>
        <v>142587.5</v>
      </c>
      <c r="F9" t="s">
        <v>499</v>
      </c>
    </row>
    <row r="10" spans="1:6" ht="17" thickBot="1" x14ac:dyDescent="0.25">
      <c r="A10" s="13" t="s">
        <v>452</v>
      </c>
      <c r="C10" s="452">
        <v>3322</v>
      </c>
      <c r="E10" s="460">
        <f>C10</f>
        <v>3322</v>
      </c>
      <c r="F10" t="s">
        <v>464</v>
      </c>
    </row>
    <row r="11" spans="1:6" x14ac:dyDescent="0.2">
      <c r="A11" s="13" t="s">
        <v>72</v>
      </c>
      <c r="C11" s="451">
        <f>SUM(C6:C10)</f>
        <v>76877</v>
      </c>
      <c r="E11" s="460">
        <f>SUM(E6:E10)</f>
        <v>231462</v>
      </c>
      <c r="F11" t="s">
        <v>470</v>
      </c>
    </row>
    <row r="12" spans="1:6" x14ac:dyDescent="0.2">
      <c r="A12" s="13" t="s">
        <v>388</v>
      </c>
      <c r="C12" s="334">
        <v>110810</v>
      </c>
      <c r="D12" t="s">
        <v>436</v>
      </c>
      <c r="E12" s="460">
        <v>285175</v>
      </c>
      <c r="F12" t="s">
        <v>471</v>
      </c>
    </row>
    <row r="13" spans="1:6" ht="17" thickBot="1" x14ac:dyDescent="0.25">
      <c r="A13" s="13" t="s">
        <v>77</v>
      </c>
      <c r="C13" s="452">
        <v>64712</v>
      </c>
      <c r="E13" s="460">
        <f>C13</f>
        <v>64712</v>
      </c>
      <c r="F13" t="s">
        <v>464</v>
      </c>
    </row>
    <row r="14" spans="1:6" x14ac:dyDescent="0.2">
      <c r="A14" s="211" t="s">
        <v>389</v>
      </c>
      <c r="C14" s="451">
        <v>252399</v>
      </c>
      <c r="E14" s="460">
        <f>SUM(E11:E13)</f>
        <v>581349</v>
      </c>
      <c r="F14" t="s">
        <v>473</v>
      </c>
    </row>
    <row r="15" spans="1:6" x14ac:dyDescent="0.2">
      <c r="A15" s="420" t="s">
        <v>390</v>
      </c>
      <c r="E15" s="460"/>
    </row>
    <row r="16" spans="1:6" x14ac:dyDescent="0.2">
      <c r="A16" s="13" t="s">
        <v>391</v>
      </c>
      <c r="C16" s="451">
        <v>56812</v>
      </c>
      <c r="D16" t="s">
        <v>437</v>
      </c>
      <c r="E16" s="460">
        <f>E33*0.04</f>
        <v>28517.5</v>
      </c>
      <c r="F16" t="s">
        <v>500</v>
      </c>
    </row>
    <row r="17" spans="1:6" x14ac:dyDescent="0.2">
      <c r="A17" s="421" t="s">
        <v>392</v>
      </c>
      <c r="C17" s="451">
        <v>54784</v>
      </c>
      <c r="D17" s="422" t="s">
        <v>405</v>
      </c>
      <c r="E17" s="460">
        <f>C17</f>
        <v>54784</v>
      </c>
      <c r="F17" t="s">
        <v>453</v>
      </c>
    </row>
    <row r="18" spans="1:6" x14ac:dyDescent="0.2">
      <c r="A18" s="13" t="s">
        <v>393</v>
      </c>
      <c r="C18" s="451">
        <v>29066</v>
      </c>
      <c r="D18" t="s">
        <v>438</v>
      </c>
      <c r="E18" s="460">
        <f>E33*0.08</f>
        <v>57035</v>
      </c>
      <c r="F18" t="s">
        <v>449</v>
      </c>
    </row>
    <row r="19" spans="1:6" x14ac:dyDescent="0.2">
      <c r="A19" s="13" t="s">
        <v>450</v>
      </c>
      <c r="C19" s="451">
        <f>6537+14629+222</f>
        <v>21388</v>
      </c>
      <c r="E19" s="460">
        <f>C19</f>
        <v>21388</v>
      </c>
      <c r="F19" t="s">
        <v>455</v>
      </c>
    </row>
    <row r="20" spans="1:6" x14ac:dyDescent="0.2">
      <c r="A20" s="423" t="s">
        <v>394</v>
      </c>
      <c r="C20" s="450">
        <v>0</v>
      </c>
      <c r="D20" s="424" t="s">
        <v>406</v>
      </c>
      <c r="E20" s="460">
        <v>0</v>
      </c>
    </row>
    <row r="21" spans="1:6" x14ac:dyDescent="0.2">
      <c r="A21" s="13" t="s">
        <v>451</v>
      </c>
      <c r="C21" s="455">
        <f>SUM(C16:C20)</f>
        <v>162050</v>
      </c>
      <c r="E21" s="460">
        <f>SUM(E16:E20)</f>
        <v>161724.5</v>
      </c>
    </row>
    <row r="22" spans="1:6" x14ac:dyDescent="0.2">
      <c r="A22" s="421" t="s">
        <v>395</v>
      </c>
      <c r="C22" s="450">
        <v>0</v>
      </c>
      <c r="D22" s="422" t="s">
        <v>405</v>
      </c>
      <c r="E22" s="460">
        <v>0</v>
      </c>
    </row>
    <row r="23" spans="1:6" x14ac:dyDescent="0.2">
      <c r="A23" s="211" t="s">
        <v>396</v>
      </c>
      <c r="C23" s="455">
        <f>SUM(C21:C22)</f>
        <v>162050</v>
      </c>
      <c r="E23" s="460">
        <f>E21</f>
        <v>161724.5</v>
      </c>
    </row>
    <row r="24" spans="1:6" x14ac:dyDescent="0.2">
      <c r="A24" s="421" t="s">
        <v>397</v>
      </c>
      <c r="C24" s="450">
        <v>0</v>
      </c>
      <c r="D24" s="422" t="s">
        <v>405</v>
      </c>
      <c r="E24" s="460">
        <v>0</v>
      </c>
    </row>
    <row r="25" spans="1:6" x14ac:dyDescent="0.2">
      <c r="A25" s="421" t="s">
        <v>398</v>
      </c>
      <c r="C25" s="451">
        <v>805</v>
      </c>
      <c r="D25" s="422" t="s">
        <v>405</v>
      </c>
      <c r="E25" s="460">
        <f>C25</f>
        <v>805</v>
      </c>
    </row>
    <row r="26" spans="1:6" x14ac:dyDescent="0.2">
      <c r="A26" s="13" t="s">
        <v>399</v>
      </c>
      <c r="C26" s="451">
        <v>89814</v>
      </c>
      <c r="D26" s="425" t="s">
        <v>407</v>
      </c>
      <c r="E26" s="460">
        <f>C26+E51</f>
        <v>121763.13</v>
      </c>
    </row>
    <row r="27" spans="1:6" x14ac:dyDescent="0.2">
      <c r="A27" s="13" t="s">
        <v>456</v>
      </c>
      <c r="C27" s="451">
        <v>-270</v>
      </c>
      <c r="D27" s="425"/>
      <c r="E27" s="460">
        <v>-270</v>
      </c>
      <c r="F27" t="s">
        <v>457</v>
      </c>
    </row>
    <row r="28" spans="1:6" x14ac:dyDescent="0.2">
      <c r="A28" s="13" t="s">
        <v>400</v>
      </c>
      <c r="C28" s="455">
        <f>SUM(C24:C27)</f>
        <v>90349</v>
      </c>
      <c r="E28" s="460">
        <f>SUM(E25:E27)</f>
        <v>122298.13</v>
      </c>
    </row>
    <row r="29" spans="1:6" x14ac:dyDescent="0.2">
      <c r="A29" s="13" t="s">
        <v>401</v>
      </c>
      <c r="C29" s="455">
        <f>SUM(C28+C23)</f>
        <v>252399</v>
      </c>
      <c r="E29" s="460">
        <f>E23+E28</f>
        <v>284022.63</v>
      </c>
    </row>
    <row r="30" spans="1:6" ht="17" thickBot="1" x14ac:dyDescent="0.25">
      <c r="A30" s="426"/>
      <c r="B30" s="197"/>
      <c r="C30" s="434"/>
      <c r="D30" s="438" t="s">
        <v>408</v>
      </c>
      <c r="E30" s="462">
        <f>E14-E29</f>
        <v>297326.37</v>
      </c>
    </row>
    <row r="31" spans="1:6" x14ac:dyDescent="0.2">
      <c r="A31" s="428" t="s">
        <v>409</v>
      </c>
      <c r="B31" s="429"/>
      <c r="C31" s="436" t="s">
        <v>402</v>
      </c>
      <c r="D31" s="429"/>
      <c r="E31" s="439" t="s">
        <v>403</v>
      </c>
    </row>
    <row r="32" spans="1:6" x14ac:dyDescent="0.2">
      <c r="A32" s="13"/>
      <c r="C32" s="427">
        <v>2024</v>
      </c>
      <c r="D32" s="437" t="s">
        <v>498</v>
      </c>
      <c r="E32" s="440">
        <v>2025</v>
      </c>
    </row>
    <row r="33" spans="1:7" x14ac:dyDescent="0.2">
      <c r="A33" s="13" t="s">
        <v>127</v>
      </c>
      <c r="C33" s="451">
        <v>648125</v>
      </c>
      <c r="D33" t="s">
        <v>440</v>
      </c>
      <c r="E33" s="459">
        <f>C33*1.1</f>
        <v>712937.5</v>
      </c>
      <c r="F33" t="s">
        <v>458</v>
      </c>
    </row>
    <row r="34" spans="1:7" x14ac:dyDescent="0.2">
      <c r="A34" s="13" t="s">
        <v>410</v>
      </c>
      <c r="C34" s="451">
        <v>621113</v>
      </c>
      <c r="D34" t="s">
        <v>441</v>
      </c>
      <c r="E34" s="459">
        <f>0.78*(E33)</f>
        <v>556091.25</v>
      </c>
      <c r="F34" t="s">
        <v>501</v>
      </c>
    </row>
    <row r="35" spans="1:7" x14ac:dyDescent="0.2">
      <c r="A35" s="13" t="s">
        <v>411</v>
      </c>
      <c r="C35" s="450">
        <v>0</v>
      </c>
      <c r="D35" t="s">
        <v>442</v>
      </c>
      <c r="E35" s="459">
        <f>E12*0.1</f>
        <v>28517.5</v>
      </c>
      <c r="F35" t="s">
        <v>474</v>
      </c>
    </row>
    <row r="36" spans="1:7" x14ac:dyDescent="0.2">
      <c r="A36" s="13" t="s">
        <v>412</v>
      </c>
      <c r="C36" s="450">
        <v>0</v>
      </c>
      <c r="D36" t="s">
        <v>434</v>
      </c>
      <c r="E36" s="459">
        <f>E33*0.1</f>
        <v>71293.75</v>
      </c>
      <c r="F36" t="s">
        <v>474</v>
      </c>
    </row>
    <row r="37" spans="1:7" x14ac:dyDescent="0.2">
      <c r="A37" s="13" t="s">
        <v>413</v>
      </c>
      <c r="C37" s="450">
        <v>0</v>
      </c>
      <c r="D37" t="s">
        <v>439</v>
      </c>
      <c r="E37" s="460">
        <v>0</v>
      </c>
    </row>
    <row r="38" spans="1:7" x14ac:dyDescent="0.2">
      <c r="A38" s="13" t="s">
        <v>414</v>
      </c>
      <c r="C38" s="455">
        <f>SUM(C33-C34)</f>
        <v>27012</v>
      </c>
      <c r="E38" s="460">
        <f>SUM(E33-E34-E35-E36-E37)</f>
        <v>57035</v>
      </c>
      <c r="F38" t="s">
        <v>475</v>
      </c>
    </row>
    <row r="39" spans="1:7" x14ac:dyDescent="0.2">
      <c r="A39" s="430" t="s">
        <v>415</v>
      </c>
      <c r="C39" s="451">
        <v>2137</v>
      </c>
      <c r="D39" s="448" t="s">
        <v>443</v>
      </c>
      <c r="E39" s="460">
        <f>C39*1.08</f>
        <v>2307.96</v>
      </c>
    </row>
    <row r="40" spans="1:7" x14ac:dyDescent="0.2">
      <c r="A40" s="431" t="s">
        <v>416</v>
      </c>
      <c r="C40" s="451">
        <v>0</v>
      </c>
      <c r="D40" s="448" t="s">
        <v>444</v>
      </c>
      <c r="E40" s="460">
        <v>0</v>
      </c>
    </row>
    <row r="41" spans="1:7" x14ac:dyDescent="0.2">
      <c r="A41" s="431" t="s">
        <v>459</v>
      </c>
      <c r="C41" s="451">
        <v>3027</v>
      </c>
      <c r="D41" s="448"/>
      <c r="E41" s="460">
        <f>C41</f>
        <v>3027</v>
      </c>
      <c r="G41" s="457"/>
    </row>
    <row r="42" spans="1:7" x14ac:dyDescent="0.2">
      <c r="A42" s="432" t="s">
        <v>417</v>
      </c>
      <c r="C42" s="451">
        <v>0</v>
      </c>
      <c r="D42" s="424" t="s">
        <v>445</v>
      </c>
      <c r="E42" s="460">
        <v>0</v>
      </c>
    </row>
    <row r="43" spans="1:7" x14ac:dyDescent="0.2">
      <c r="A43" s="13" t="s">
        <v>418</v>
      </c>
      <c r="C43" s="455">
        <f>SUM(C38-C39-C41)</f>
        <v>21848</v>
      </c>
      <c r="E43" s="460">
        <f>E38-E39-E41-E42</f>
        <v>51700.04</v>
      </c>
    </row>
    <row r="44" spans="1:7" x14ac:dyDescent="0.2">
      <c r="A44" s="13" t="s">
        <v>460</v>
      </c>
      <c r="C44" s="451">
        <v>5578</v>
      </c>
      <c r="D44" t="s">
        <v>446</v>
      </c>
      <c r="E44" s="460">
        <f>E43-(E43*0.25)</f>
        <v>38775.03</v>
      </c>
    </row>
    <row r="45" spans="1:7" x14ac:dyDescent="0.2">
      <c r="A45" s="13" t="s">
        <v>461</v>
      </c>
      <c r="C45" s="451">
        <v>381</v>
      </c>
      <c r="D45" t="s">
        <v>464</v>
      </c>
      <c r="E45" s="460">
        <f>C45</f>
        <v>381</v>
      </c>
    </row>
    <row r="46" spans="1:7" x14ac:dyDescent="0.2">
      <c r="A46" s="13" t="s">
        <v>462</v>
      </c>
      <c r="C46" s="451">
        <v>15889</v>
      </c>
      <c r="E46" s="460">
        <f>E44-E45</f>
        <v>38394.03</v>
      </c>
      <c r="F46" t="s">
        <v>475</v>
      </c>
    </row>
    <row r="47" spans="1:7" x14ac:dyDescent="0.2">
      <c r="A47" s="421" t="s">
        <v>419</v>
      </c>
      <c r="C47" s="451">
        <v>0</v>
      </c>
      <c r="D47" s="448" t="s">
        <v>447</v>
      </c>
      <c r="E47" s="460">
        <v>0</v>
      </c>
      <c r="F47" t="s">
        <v>463</v>
      </c>
    </row>
    <row r="48" spans="1:7" x14ac:dyDescent="0.2">
      <c r="A48" s="13" t="s">
        <v>420</v>
      </c>
      <c r="C48" s="455">
        <f>SUM(C46:C47)</f>
        <v>15889</v>
      </c>
      <c r="E48" s="460">
        <f>E46-E47</f>
        <v>38394.03</v>
      </c>
    </row>
    <row r="49" spans="1:6" x14ac:dyDescent="0.2">
      <c r="A49" s="13" t="s">
        <v>421</v>
      </c>
      <c r="C49" s="451">
        <v>6138</v>
      </c>
      <c r="D49" t="s">
        <v>448</v>
      </c>
      <c r="E49" s="460">
        <f>C49*1.05</f>
        <v>6444.9000000000005</v>
      </c>
    </row>
    <row r="50" spans="1:6" x14ac:dyDescent="0.2">
      <c r="A50" s="432" t="s">
        <v>422</v>
      </c>
      <c r="C50" s="450">
        <v>0</v>
      </c>
      <c r="D50" s="433" t="s">
        <v>423</v>
      </c>
      <c r="E50" s="460">
        <v>0</v>
      </c>
    </row>
    <row r="51" spans="1:6" ht="17" thickBot="1" x14ac:dyDescent="0.25">
      <c r="A51" s="426" t="s">
        <v>465</v>
      </c>
      <c r="B51" s="197"/>
      <c r="C51" s="458">
        <f>SUM(C48-C49)</f>
        <v>9751</v>
      </c>
      <c r="D51" s="434" t="s">
        <v>424</v>
      </c>
      <c r="E51" s="461">
        <f>E48-E49</f>
        <v>31949.129999999997</v>
      </c>
      <c r="F51" t="s">
        <v>476</v>
      </c>
    </row>
    <row r="52" spans="1:6" ht="17" thickBot="1" x14ac:dyDescent="0.25">
      <c r="A52" s="621" t="s">
        <v>425</v>
      </c>
      <c r="B52" s="622"/>
      <c r="C52" s="622"/>
      <c r="D52" s="622"/>
      <c r="E52" s="623"/>
    </row>
    <row r="53" spans="1:6" x14ac:dyDescent="0.2">
      <c r="A53" s="624" t="s">
        <v>426</v>
      </c>
      <c r="B53" s="625"/>
      <c r="C53" s="625"/>
      <c r="D53" s="626"/>
      <c r="E53" s="463">
        <v>-325</v>
      </c>
      <c r="F53" t="s">
        <v>478</v>
      </c>
    </row>
    <row r="54" spans="1:6" x14ac:dyDescent="0.2">
      <c r="A54" s="627" t="s">
        <v>427</v>
      </c>
      <c r="B54" s="628"/>
      <c r="C54" s="628"/>
      <c r="D54" s="629"/>
      <c r="E54" s="460">
        <v>0</v>
      </c>
    </row>
    <row r="55" spans="1:6" x14ac:dyDescent="0.2">
      <c r="A55" s="627" t="s">
        <v>428</v>
      </c>
      <c r="B55" s="628"/>
      <c r="C55" s="628"/>
      <c r="D55" s="629"/>
      <c r="E55" s="460">
        <f>E51</f>
        <v>31949.129999999997</v>
      </c>
    </row>
    <row r="56" spans="1:6" ht="17" thickBot="1" x14ac:dyDescent="0.25">
      <c r="A56" s="617" t="s">
        <v>467</v>
      </c>
      <c r="B56" s="618"/>
      <c r="C56" s="618"/>
      <c r="D56" s="619"/>
      <c r="E56" s="464">
        <v>0</v>
      </c>
    </row>
    <row r="57" spans="1:6" x14ac:dyDescent="0.2">
      <c r="A57" s="608" t="s">
        <v>429</v>
      </c>
      <c r="B57" s="609"/>
      <c r="C57" s="609"/>
      <c r="D57" s="610"/>
      <c r="E57" s="463">
        <f>SUM(E55+E53)</f>
        <v>31624.129999999997</v>
      </c>
    </row>
    <row r="58" spans="1:6" ht="17" thickBot="1" x14ac:dyDescent="0.25">
      <c r="A58" s="611" t="s">
        <v>468</v>
      </c>
      <c r="B58" s="612"/>
      <c r="C58" s="612"/>
      <c r="D58" s="613"/>
      <c r="E58" s="464">
        <f>(E14-C14)</f>
        <v>328950</v>
      </c>
    </row>
    <row r="59" spans="1:6" ht="17" thickBot="1" x14ac:dyDescent="0.25">
      <c r="A59" s="614" t="s">
        <v>430</v>
      </c>
      <c r="B59" s="615"/>
      <c r="C59" s="615"/>
      <c r="D59" s="616"/>
      <c r="E59" s="465">
        <f>E57-E58</f>
        <v>-297325.87</v>
      </c>
    </row>
    <row r="60" spans="1:6" x14ac:dyDescent="0.2">
      <c r="A60" s="608" t="s">
        <v>431</v>
      </c>
      <c r="B60" s="609"/>
      <c r="C60" s="609"/>
      <c r="D60" s="610"/>
      <c r="E60" s="465">
        <v>297326</v>
      </c>
      <c r="F60" t="s">
        <v>477</v>
      </c>
    </row>
    <row r="61" spans="1:6" ht="17" thickBot="1" x14ac:dyDescent="0.25">
      <c r="A61" s="611" t="s">
        <v>432</v>
      </c>
      <c r="B61" s="612"/>
      <c r="C61" s="612"/>
      <c r="D61" s="613"/>
      <c r="E61" s="466">
        <v>0</v>
      </c>
    </row>
  </sheetData>
  <mergeCells count="11">
    <mergeCell ref="A56:D56"/>
    <mergeCell ref="A1:E1"/>
    <mergeCell ref="A52:E52"/>
    <mergeCell ref="A53:D53"/>
    <mergeCell ref="A54:D54"/>
    <mergeCell ref="A55:D55"/>
    <mergeCell ref="A57:D57"/>
    <mergeCell ref="A58:D58"/>
    <mergeCell ref="A59:D59"/>
    <mergeCell ref="A60:D60"/>
    <mergeCell ref="A61:D61"/>
  </mergeCells>
  <pageMargins left="0.7" right="0.7" top="0.75" bottom="0.75" header="0.3" footer="0.3"/>
  <ignoredErrors>
    <ignoredError sqref="C4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0BE35-29FE-FE45-AB4F-4321F662E9B5}">
  <dimension ref="A1:E29"/>
  <sheetViews>
    <sheetView workbookViewId="0">
      <selection activeCell="C32" sqref="C32"/>
    </sheetView>
  </sheetViews>
  <sheetFormatPr baseColWidth="10" defaultColWidth="8.83203125" defaultRowHeight="15" x14ac:dyDescent="0.2"/>
  <cols>
    <col min="1" max="1" width="35.1640625" style="127" bestFit="1" customWidth="1"/>
    <col min="2" max="2" width="42.6640625" style="127" bestFit="1" customWidth="1"/>
    <col min="3" max="3" width="20.6640625" style="127" bestFit="1" customWidth="1"/>
    <col min="4" max="4" width="26.33203125" style="127" bestFit="1" customWidth="1"/>
    <col min="5" max="5" width="23.6640625" style="127" bestFit="1" customWidth="1"/>
    <col min="6" max="16384" width="8.83203125" style="127"/>
  </cols>
  <sheetData>
    <row r="1" spans="1:5" x14ac:dyDescent="0.2">
      <c r="A1" s="127" t="s">
        <v>575</v>
      </c>
      <c r="B1" s="127" t="s">
        <v>599</v>
      </c>
    </row>
    <row r="3" spans="1:5" x14ac:dyDescent="0.2">
      <c r="A3" s="127" t="s">
        <v>574</v>
      </c>
    </row>
    <row r="5" spans="1:5" x14ac:dyDescent="0.2">
      <c r="A5" s="468" t="s">
        <v>573</v>
      </c>
      <c r="B5" s="468" t="s">
        <v>543</v>
      </c>
      <c r="C5" s="468" t="s">
        <v>542</v>
      </c>
      <c r="D5" s="468" t="s">
        <v>541</v>
      </c>
      <c r="E5" s="468" t="s">
        <v>540</v>
      </c>
    </row>
    <row r="6" spans="1:5" x14ac:dyDescent="0.2">
      <c r="A6" s="469" t="s">
        <v>572</v>
      </c>
      <c r="B6" s="469" t="s">
        <v>565</v>
      </c>
      <c r="C6" s="469" t="s">
        <v>532</v>
      </c>
      <c r="D6" s="469" t="s">
        <v>532</v>
      </c>
      <c r="E6" s="469" t="s">
        <v>571</v>
      </c>
    </row>
    <row r="7" spans="1:5" x14ac:dyDescent="0.2">
      <c r="A7" s="469" t="s">
        <v>570</v>
      </c>
      <c r="B7" s="469" t="s">
        <v>565</v>
      </c>
      <c r="C7" s="469" t="s">
        <v>532</v>
      </c>
      <c r="D7" s="469" t="s">
        <v>532</v>
      </c>
      <c r="E7" s="469" t="s">
        <v>569</v>
      </c>
    </row>
    <row r="8" spans="1:5" x14ac:dyDescent="0.2">
      <c r="A8" s="469" t="s">
        <v>568</v>
      </c>
      <c r="B8" s="469" t="s">
        <v>565</v>
      </c>
      <c r="C8" s="469" t="s">
        <v>532</v>
      </c>
      <c r="D8" s="469" t="s">
        <v>537</v>
      </c>
      <c r="E8" s="469" t="s">
        <v>567</v>
      </c>
    </row>
    <row r="9" spans="1:5" x14ac:dyDescent="0.2">
      <c r="A9" s="469" t="s">
        <v>566</v>
      </c>
      <c r="B9" s="469" t="s">
        <v>565</v>
      </c>
      <c r="C9" s="469" t="s">
        <v>532</v>
      </c>
      <c r="D9" s="469" t="s">
        <v>565</v>
      </c>
      <c r="E9" s="469" t="s">
        <v>538</v>
      </c>
    </row>
    <row r="10" spans="1:5" x14ac:dyDescent="0.2">
      <c r="A10" s="469" t="s">
        <v>564</v>
      </c>
      <c r="B10" s="469" t="s">
        <v>598</v>
      </c>
      <c r="C10" s="469" t="s">
        <v>598</v>
      </c>
      <c r="D10" s="469" t="s">
        <v>598</v>
      </c>
      <c r="E10" s="469" t="s">
        <v>598</v>
      </c>
    </row>
    <row r="11" spans="1:5" x14ac:dyDescent="0.2">
      <c r="A11" s="469" t="s">
        <v>563</v>
      </c>
      <c r="B11" s="469" t="s">
        <v>598</v>
      </c>
      <c r="C11" s="469" t="s">
        <v>598</v>
      </c>
      <c r="D11" s="469" t="s">
        <v>561</v>
      </c>
      <c r="E11" s="469" t="s">
        <v>561</v>
      </c>
    </row>
    <row r="12" spans="1:5" x14ac:dyDescent="0.2">
      <c r="A12" s="469" t="s">
        <v>560</v>
      </c>
      <c r="B12" s="469" t="s">
        <v>557</v>
      </c>
      <c r="C12" s="469" t="s">
        <v>557</v>
      </c>
      <c r="D12" s="469" t="s">
        <v>559</v>
      </c>
      <c r="E12" s="469" t="s">
        <v>559</v>
      </c>
    </row>
    <row r="13" spans="1:5" x14ac:dyDescent="0.2">
      <c r="A13" s="469" t="s">
        <v>558</v>
      </c>
      <c r="B13" s="469" t="s">
        <v>557</v>
      </c>
      <c r="C13" s="469" t="s">
        <v>557</v>
      </c>
      <c r="D13" s="469" t="s">
        <v>556</v>
      </c>
      <c r="E13" s="469" t="s">
        <v>556</v>
      </c>
    </row>
    <row r="14" spans="1:5" x14ac:dyDescent="0.2">
      <c r="A14" s="469" t="s">
        <v>555</v>
      </c>
      <c r="B14" s="469" t="s">
        <v>552</v>
      </c>
      <c r="C14" s="469" t="s">
        <v>552</v>
      </c>
      <c r="D14" s="469" t="s">
        <v>554</v>
      </c>
      <c r="E14" s="469" t="s">
        <v>554</v>
      </c>
    </row>
    <row r="15" spans="1:5" x14ac:dyDescent="0.2">
      <c r="A15" s="469" t="s">
        <v>553</v>
      </c>
      <c r="B15" s="469" t="s">
        <v>552</v>
      </c>
      <c r="C15" s="469" t="s">
        <v>552</v>
      </c>
      <c r="D15" s="469" t="s">
        <v>551</v>
      </c>
      <c r="E15" s="469" t="s">
        <v>551</v>
      </c>
    </row>
    <row r="16" spans="1:5" x14ac:dyDescent="0.2">
      <c r="A16" s="469" t="s">
        <v>413</v>
      </c>
      <c r="B16" s="469" t="s">
        <v>550</v>
      </c>
      <c r="C16" s="469" t="s">
        <v>549</v>
      </c>
      <c r="D16" s="469" t="s">
        <v>548</v>
      </c>
      <c r="E16" s="469" t="s">
        <v>547</v>
      </c>
    </row>
    <row r="17" spans="1:5" x14ac:dyDescent="0.2">
      <c r="A17" s="469" t="s">
        <v>546</v>
      </c>
      <c r="B17" s="469" t="s">
        <v>538</v>
      </c>
      <c r="C17" s="469" t="s">
        <v>538</v>
      </c>
      <c r="D17" s="469" t="s">
        <v>538</v>
      </c>
      <c r="E17" s="469" t="s">
        <v>538</v>
      </c>
    </row>
    <row r="19" spans="1:5" x14ac:dyDescent="0.2">
      <c r="A19" s="127" t="s">
        <v>545</v>
      </c>
    </row>
    <row r="20" spans="1:5" x14ac:dyDescent="0.2">
      <c r="A20" s="468" t="s">
        <v>544</v>
      </c>
      <c r="B20" s="468" t="s">
        <v>543</v>
      </c>
      <c r="C20" s="468" t="s">
        <v>542</v>
      </c>
      <c r="D20" s="468" t="s">
        <v>541</v>
      </c>
      <c r="E20" s="468" t="s">
        <v>540</v>
      </c>
    </row>
    <row r="21" spans="1:5" x14ac:dyDescent="0.2">
      <c r="A21" s="467" t="s">
        <v>539</v>
      </c>
      <c r="B21" s="467" t="s">
        <v>538</v>
      </c>
      <c r="C21" s="467" t="s">
        <v>538</v>
      </c>
      <c r="D21" s="467" t="s">
        <v>537</v>
      </c>
      <c r="E21" s="467" t="s">
        <v>537</v>
      </c>
    </row>
    <row r="22" spans="1:5" x14ac:dyDescent="0.2">
      <c r="A22" s="467" t="s">
        <v>536</v>
      </c>
      <c r="B22" s="467" t="s">
        <v>535</v>
      </c>
      <c r="C22" s="467" t="s">
        <v>535</v>
      </c>
      <c r="D22" s="467" t="s">
        <v>534</v>
      </c>
      <c r="E22" s="467" t="s">
        <v>534</v>
      </c>
    </row>
    <row r="23" spans="1:5" x14ac:dyDescent="0.2">
      <c r="A23" s="467" t="s">
        <v>533</v>
      </c>
      <c r="B23" s="467" t="s">
        <v>532</v>
      </c>
      <c r="C23" s="467" t="s">
        <v>532</v>
      </c>
      <c r="D23" s="467" t="s">
        <v>531</v>
      </c>
      <c r="E23" s="467" t="s">
        <v>531</v>
      </c>
    </row>
    <row r="24" spans="1:5" x14ac:dyDescent="0.2">
      <c r="A24" s="467" t="s">
        <v>530</v>
      </c>
      <c r="B24" s="467" t="s">
        <v>597</v>
      </c>
      <c r="C24" s="467" t="s">
        <v>596</v>
      </c>
      <c r="D24" s="467" t="s">
        <v>597</v>
      </c>
      <c r="E24" s="467" t="s">
        <v>596</v>
      </c>
    </row>
    <row r="25" spans="1:5" x14ac:dyDescent="0.2">
      <c r="A25" s="467" t="s">
        <v>526</v>
      </c>
      <c r="B25" s="467" t="s">
        <v>595</v>
      </c>
      <c r="C25" s="467" t="s">
        <v>594</v>
      </c>
      <c r="D25" s="467" t="s">
        <v>593</v>
      </c>
      <c r="E25" s="467" t="s">
        <v>592</v>
      </c>
    </row>
    <row r="26" spans="1:5" x14ac:dyDescent="0.2">
      <c r="A26" s="467" t="s">
        <v>521</v>
      </c>
      <c r="B26" s="467" t="s">
        <v>591</v>
      </c>
      <c r="C26" s="467" t="s">
        <v>590</v>
      </c>
      <c r="D26" s="467" t="s">
        <v>589</v>
      </c>
      <c r="E26" s="467" t="s">
        <v>588</v>
      </c>
    </row>
    <row r="27" spans="1:5" x14ac:dyDescent="0.2">
      <c r="A27" s="467" t="s">
        <v>516</v>
      </c>
      <c r="B27" s="467" t="s">
        <v>587</v>
      </c>
      <c r="C27" s="467" t="s">
        <v>586</v>
      </c>
      <c r="D27" s="467" t="s">
        <v>585</v>
      </c>
      <c r="E27" s="467" t="s">
        <v>584</v>
      </c>
    </row>
    <row r="28" spans="1:5" x14ac:dyDescent="0.2">
      <c r="A28" s="467" t="s">
        <v>511</v>
      </c>
      <c r="B28" s="467" t="s">
        <v>583</v>
      </c>
      <c r="C28" s="467" t="s">
        <v>582</v>
      </c>
      <c r="D28" s="467" t="s">
        <v>581</v>
      </c>
      <c r="E28" s="467" t="s">
        <v>580</v>
      </c>
    </row>
    <row r="29" spans="1:5" x14ac:dyDescent="0.2">
      <c r="A29" s="467" t="s">
        <v>506</v>
      </c>
      <c r="B29" s="467" t="s">
        <v>579</v>
      </c>
      <c r="C29" s="467" t="s">
        <v>578</v>
      </c>
      <c r="D29" s="467" t="s">
        <v>577</v>
      </c>
      <c r="E29" s="467" t="s">
        <v>576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ED63-ED46-6E49-BFED-C18AB92605C8}">
  <dimension ref="A1:K67"/>
  <sheetViews>
    <sheetView workbookViewId="0">
      <selection activeCell="A58" sqref="A58:B58"/>
    </sheetView>
  </sheetViews>
  <sheetFormatPr baseColWidth="10" defaultColWidth="8.83203125" defaultRowHeight="16" x14ac:dyDescent="0.2"/>
  <cols>
    <col min="1" max="1" width="17.5" customWidth="1"/>
    <col min="2" max="2" width="17.33203125" customWidth="1"/>
    <col min="3" max="3" width="16.83203125" customWidth="1"/>
    <col min="4" max="4" width="16.6640625" customWidth="1"/>
    <col min="5" max="5" width="16.1640625" customWidth="1"/>
    <col min="6" max="6" width="14.6640625" customWidth="1"/>
    <col min="7" max="7" width="13.1640625" customWidth="1"/>
    <col min="8" max="8" width="15" customWidth="1"/>
    <col min="9" max="9" width="12" customWidth="1"/>
    <col min="10" max="10" width="14.6640625" customWidth="1"/>
    <col min="11" max="11" width="14.5" customWidth="1"/>
  </cols>
  <sheetData>
    <row r="1" spans="1:9" ht="24" x14ac:dyDescent="0.3">
      <c r="A1" s="522" t="s">
        <v>648</v>
      </c>
      <c r="B1" s="519" t="s">
        <v>647</v>
      </c>
      <c r="C1" s="521" t="s">
        <v>646</v>
      </c>
      <c r="D1" s="520"/>
      <c r="E1" s="519"/>
      <c r="F1" s="519" t="s">
        <v>645</v>
      </c>
      <c r="G1" s="519"/>
      <c r="H1" s="519"/>
      <c r="I1" s="518"/>
    </row>
    <row r="2" spans="1:9" ht="20" thickBot="1" x14ac:dyDescent="0.3">
      <c r="A2" s="517" t="s">
        <v>644</v>
      </c>
      <c r="B2" s="514"/>
      <c r="C2" s="516"/>
      <c r="D2" s="515"/>
      <c r="E2" s="514"/>
      <c r="F2" s="514"/>
      <c r="G2" s="514"/>
      <c r="H2" s="514"/>
      <c r="I2" s="513"/>
    </row>
    <row r="3" spans="1:9" x14ac:dyDescent="0.2">
      <c r="A3" s="512" t="s">
        <v>643</v>
      </c>
      <c r="B3" s="512">
        <v>2021</v>
      </c>
      <c r="C3" s="512">
        <v>2022</v>
      </c>
      <c r="D3" s="512">
        <v>2023</v>
      </c>
      <c r="E3" s="512">
        <v>2024</v>
      </c>
      <c r="F3" s="512">
        <v>2025</v>
      </c>
      <c r="G3" s="512">
        <v>2026</v>
      </c>
      <c r="H3" s="512">
        <v>2027</v>
      </c>
      <c r="I3" s="512">
        <v>2028</v>
      </c>
    </row>
    <row r="4" spans="1:9" x14ac:dyDescent="0.2">
      <c r="A4" s="511" t="s">
        <v>642</v>
      </c>
      <c r="B4" s="510">
        <v>0.05</v>
      </c>
      <c r="C4" s="510">
        <v>0.1</v>
      </c>
      <c r="D4" s="510">
        <v>0.04</v>
      </c>
      <c r="E4" s="510">
        <v>0.1</v>
      </c>
      <c r="F4" s="510">
        <v>0.08</v>
      </c>
      <c r="G4" s="510">
        <v>7.0000000000000007E-2</v>
      </c>
      <c r="H4" s="510">
        <v>0.05</v>
      </c>
      <c r="I4" s="510">
        <v>0.05</v>
      </c>
    </row>
    <row r="5" spans="1:9" x14ac:dyDescent="0.2">
      <c r="A5" s="511" t="s">
        <v>641</v>
      </c>
      <c r="B5" s="510">
        <v>0.76</v>
      </c>
      <c r="C5" s="510">
        <v>0.77</v>
      </c>
      <c r="D5" s="510">
        <v>0.78</v>
      </c>
      <c r="E5" s="510">
        <v>0.78</v>
      </c>
      <c r="F5" s="510">
        <v>0.78</v>
      </c>
      <c r="G5" s="510">
        <v>0.78</v>
      </c>
      <c r="H5" s="510">
        <v>0.78</v>
      </c>
      <c r="I5" s="510">
        <v>0.78</v>
      </c>
    </row>
    <row r="6" spans="1:9" x14ac:dyDescent="0.2">
      <c r="A6" s="511" t="s">
        <v>640</v>
      </c>
      <c r="B6" s="510">
        <v>0.09</v>
      </c>
      <c r="C6" s="510">
        <v>0.1</v>
      </c>
      <c r="D6" s="510">
        <v>0.1</v>
      </c>
      <c r="E6" s="510">
        <v>0.1</v>
      </c>
      <c r="F6" s="510">
        <v>0.1</v>
      </c>
      <c r="G6" s="510">
        <v>0.1</v>
      </c>
      <c r="H6" s="510">
        <v>0.1</v>
      </c>
      <c r="I6" s="509">
        <v>0.1</v>
      </c>
    </row>
    <row r="7" spans="1:9" x14ac:dyDescent="0.2">
      <c r="A7" s="511" t="s">
        <v>639</v>
      </c>
      <c r="B7" s="510">
        <v>0.1</v>
      </c>
      <c r="C7" s="510">
        <v>0.1</v>
      </c>
      <c r="D7" s="510">
        <v>0.1</v>
      </c>
      <c r="E7" s="510">
        <v>0.1</v>
      </c>
      <c r="F7" s="510">
        <v>0.1</v>
      </c>
      <c r="G7" s="510">
        <v>0.1</v>
      </c>
      <c r="H7" s="510">
        <v>0.1</v>
      </c>
      <c r="I7" s="509">
        <v>0.1</v>
      </c>
    </row>
    <row r="8" spans="1:9" x14ac:dyDescent="0.2">
      <c r="A8" s="511" t="s">
        <v>638</v>
      </c>
      <c r="B8" s="510">
        <v>0.01</v>
      </c>
      <c r="C8" s="510">
        <v>0.02</v>
      </c>
      <c r="D8" s="510">
        <v>0.02</v>
      </c>
      <c r="E8" s="510">
        <v>0.02</v>
      </c>
      <c r="F8" s="510">
        <v>0.02</v>
      </c>
      <c r="G8" s="510">
        <v>0.02</v>
      </c>
      <c r="H8" s="510">
        <v>0.02</v>
      </c>
      <c r="I8" s="509">
        <v>0.02</v>
      </c>
    </row>
    <row r="9" spans="1:9" x14ac:dyDescent="0.2">
      <c r="A9" s="511" t="s">
        <v>637</v>
      </c>
      <c r="B9" s="510">
        <v>0.08</v>
      </c>
      <c r="C9" s="510">
        <v>0.08</v>
      </c>
      <c r="D9" s="510">
        <v>0.1</v>
      </c>
      <c r="E9" s="510">
        <v>0.1</v>
      </c>
      <c r="F9" s="510">
        <v>0.1</v>
      </c>
      <c r="G9" s="510">
        <v>0.1</v>
      </c>
      <c r="H9" s="510">
        <v>0.1</v>
      </c>
      <c r="I9" s="509">
        <v>0.1</v>
      </c>
    </row>
    <row r="10" spans="1:9" x14ac:dyDescent="0.2">
      <c r="A10" s="511" t="s">
        <v>636</v>
      </c>
      <c r="B10" s="510">
        <v>0.15</v>
      </c>
      <c r="C10" s="510">
        <v>0.16</v>
      </c>
      <c r="D10" s="510">
        <v>0.2</v>
      </c>
      <c r="E10" s="510">
        <v>0.2</v>
      </c>
      <c r="F10" s="510">
        <v>0.2</v>
      </c>
      <c r="G10" s="510">
        <v>0.2</v>
      </c>
      <c r="H10" s="510">
        <v>0.2</v>
      </c>
      <c r="I10" s="509">
        <v>0.2</v>
      </c>
    </row>
    <row r="11" spans="1:9" x14ac:dyDescent="0.2">
      <c r="A11" s="511" t="s">
        <v>635</v>
      </c>
      <c r="B11" s="510">
        <v>0.33</v>
      </c>
      <c r="C11" s="510">
        <v>0.37</v>
      </c>
      <c r="D11" s="510">
        <v>0.4</v>
      </c>
      <c r="E11" s="510">
        <v>0.4</v>
      </c>
      <c r="F11" s="510">
        <v>0.4</v>
      </c>
      <c r="G11" s="510">
        <v>0.4</v>
      </c>
      <c r="H11" s="510">
        <v>0.4</v>
      </c>
      <c r="I11" s="509">
        <v>0.4</v>
      </c>
    </row>
    <row r="12" spans="1:9" x14ac:dyDescent="0.2">
      <c r="A12" s="511" t="s">
        <v>634</v>
      </c>
      <c r="B12" s="510">
        <v>0.04</v>
      </c>
      <c r="C12" s="510">
        <v>0.04</v>
      </c>
      <c r="D12" s="510">
        <v>0.04</v>
      </c>
      <c r="E12" s="510">
        <v>0.04</v>
      </c>
      <c r="F12" s="510">
        <v>0.04</v>
      </c>
      <c r="G12" s="510">
        <v>0.04</v>
      </c>
      <c r="H12" s="510">
        <v>0.04</v>
      </c>
      <c r="I12" s="509">
        <v>0.04</v>
      </c>
    </row>
    <row r="13" spans="1:9" x14ac:dyDescent="0.2">
      <c r="A13" s="511" t="s">
        <v>633</v>
      </c>
      <c r="B13" s="510">
        <v>7.0000000000000007E-2</v>
      </c>
      <c r="C13" s="510">
        <v>0.08</v>
      </c>
      <c r="D13" s="510">
        <v>0.08</v>
      </c>
      <c r="E13" s="510">
        <v>0.08</v>
      </c>
      <c r="F13" s="510">
        <v>0.08</v>
      </c>
      <c r="G13" s="510">
        <v>0.08</v>
      </c>
      <c r="H13" s="510">
        <v>0.08</v>
      </c>
      <c r="I13" s="509">
        <v>0.08</v>
      </c>
    </row>
    <row r="14" spans="1:9" x14ac:dyDescent="0.2">
      <c r="A14" s="511" t="s">
        <v>632</v>
      </c>
      <c r="B14" s="510">
        <v>0.25</v>
      </c>
      <c r="C14" s="510">
        <v>0.25</v>
      </c>
      <c r="D14" s="510">
        <v>0.25</v>
      </c>
      <c r="E14" s="510">
        <v>0.25</v>
      </c>
      <c r="F14" s="510">
        <v>0.25</v>
      </c>
      <c r="G14" s="510">
        <v>0.25</v>
      </c>
      <c r="H14" s="510">
        <v>0.25</v>
      </c>
      <c r="I14" s="509">
        <v>0.25</v>
      </c>
    </row>
    <row r="15" spans="1:9" ht="17" thickBot="1" x14ac:dyDescent="0.25">
      <c r="A15" s="508" t="s">
        <v>631</v>
      </c>
      <c r="B15" s="508" t="s">
        <v>630</v>
      </c>
      <c r="C15" s="508" t="s">
        <v>630</v>
      </c>
      <c r="D15" s="508" t="s">
        <v>630</v>
      </c>
      <c r="E15" s="508">
        <v>0</v>
      </c>
      <c r="F15" s="508">
        <v>0</v>
      </c>
      <c r="G15" s="508">
        <v>0</v>
      </c>
      <c r="H15" s="508">
        <v>0</v>
      </c>
      <c r="I15" s="479">
        <v>0</v>
      </c>
    </row>
    <row r="16" spans="1:9" ht="17" thickBot="1" x14ac:dyDescent="0.25"/>
    <row r="17" spans="1:9" ht="20" thickBot="1" x14ac:dyDescent="0.3">
      <c r="A17" s="507" t="s">
        <v>629</v>
      </c>
      <c r="B17" s="505"/>
      <c r="C17" s="506"/>
      <c r="D17" s="505"/>
      <c r="E17" s="505"/>
      <c r="F17" s="505"/>
      <c r="G17" s="505"/>
      <c r="H17" s="505"/>
      <c r="I17" s="504"/>
    </row>
    <row r="18" spans="1:9" x14ac:dyDescent="0.2">
      <c r="A18" s="501"/>
      <c r="B18" s="500"/>
      <c r="C18" s="500" t="s">
        <v>628</v>
      </c>
      <c r="D18" s="500"/>
      <c r="E18" s="500"/>
      <c r="F18" s="500" t="s">
        <v>403</v>
      </c>
      <c r="G18" s="500"/>
      <c r="H18" s="500"/>
      <c r="I18" s="499"/>
    </row>
    <row r="19" spans="1:9" x14ac:dyDescent="0.2">
      <c r="A19" s="482" t="s">
        <v>627</v>
      </c>
      <c r="B19" s="473"/>
      <c r="C19" s="473"/>
      <c r="D19" s="473">
        <v>2023</v>
      </c>
      <c r="E19" s="473">
        <v>2024</v>
      </c>
      <c r="F19" s="473">
        <v>2025</v>
      </c>
      <c r="G19" s="473">
        <v>2026</v>
      </c>
      <c r="H19" s="473">
        <v>2027</v>
      </c>
      <c r="I19" s="485">
        <v>2028</v>
      </c>
    </row>
    <row r="20" spans="1:9" x14ac:dyDescent="0.2">
      <c r="A20" s="482" t="s">
        <v>127</v>
      </c>
      <c r="B20" s="473"/>
      <c r="C20" s="473"/>
      <c r="D20" s="503">
        <v>642637</v>
      </c>
      <c r="E20" s="472">
        <f>D20*E4+D20</f>
        <v>706900.7</v>
      </c>
      <c r="F20" s="472">
        <f>E20*F4+E20</f>
        <v>763452.75599999994</v>
      </c>
      <c r="G20" s="472">
        <f>F20*G4+F20</f>
        <v>816894.44891999988</v>
      </c>
      <c r="H20" s="472">
        <f>G20*H4+G20</f>
        <v>857739.17136599985</v>
      </c>
      <c r="I20" s="491">
        <f>H20*I4+H20</f>
        <v>900626.12993429985</v>
      </c>
    </row>
    <row r="21" spans="1:9" ht="17" thickBot="1" x14ac:dyDescent="0.25">
      <c r="A21" s="479"/>
      <c r="B21" s="478"/>
      <c r="C21" s="478"/>
      <c r="D21" s="478"/>
      <c r="E21" s="478"/>
      <c r="F21" s="478"/>
      <c r="G21" s="478"/>
      <c r="H21" s="478"/>
      <c r="I21" s="502"/>
    </row>
    <row r="22" spans="1:9" x14ac:dyDescent="0.2">
      <c r="A22" s="501" t="s">
        <v>626</v>
      </c>
      <c r="B22" s="500"/>
      <c r="C22" s="500"/>
      <c r="D22" s="500"/>
      <c r="E22" s="500"/>
      <c r="F22" s="500"/>
      <c r="G22" s="500"/>
      <c r="H22" s="500"/>
      <c r="I22" s="499"/>
    </row>
    <row r="23" spans="1:9" x14ac:dyDescent="0.2">
      <c r="A23" s="482" t="s">
        <v>385</v>
      </c>
      <c r="B23" s="473"/>
      <c r="C23" s="473"/>
      <c r="D23" s="494">
        <f>D20*D8</f>
        <v>12852.74</v>
      </c>
      <c r="E23" s="494">
        <f>E20*E8</f>
        <v>14138.013999999999</v>
      </c>
      <c r="F23" s="472">
        <f>E23*F4+E23</f>
        <v>15269.055119999999</v>
      </c>
      <c r="G23" s="472">
        <f>F23*G4+F23</f>
        <v>16337.888978399998</v>
      </c>
      <c r="H23" s="472">
        <f>G23*H4+G23</f>
        <v>17154.783427319999</v>
      </c>
      <c r="I23" s="491">
        <f>H23*I4+H23</f>
        <v>18012.522598685999</v>
      </c>
    </row>
    <row r="24" spans="1:9" x14ac:dyDescent="0.2">
      <c r="A24" s="482" t="s">
        <v>625</v>
      </c>
      <c r="B24" s="473"/>
      <c r="C24" s="473"/>
      <c r="D24" s="494">
        <f>D20*D9</f>
        <v>64263.700000000004</v>
      </c>
      <c r="E24" s="472">
        <f>D24*E4+D24</f>
        <v>70690.070000000007</v>
      </c>
      <c r="F24" s="472">
        <f>E24*F4+E24</f>
        <v>76345.275600000008</v>
      </c>
      <c r="G24" s="472">
        <f>F24*G4+F24</f>
        <v>81689.444892000014</v>
      </c>
      <c r="H24" s="472">
        <f>G24*H4+G24</f>
        <v>85773.917136600008</v>
      </c>
      <c r="I24" s="491">
        <f>H24*I4+H24</f>
        <v>90062.612993430012</v>
      </c>
    </row>
    <row r="25" spans="1:9" x14ac:dyDescent="0.2">
      <c r="A25" s="482" t="s">
        <v>3</v>
      </c>
      <c r="B25" s="473"/>
      <c r="C25" s="473"/>
      <c r="D25" s="494">
        <f>D20*D10</f>
        <v>128527.40000000001</v>
      </c>
      <c r="E25" s="472">
        <f>D25*E4+D25</f>
        <v>141380.14000000001</v>
      </c>
      <c r="F25" s="472">
        <f>E25*F4+E25</f>
        <v>152690.55120000002</v>
      </c>
      <c r="G25" s="472">
        <f>F25*G4+F25</f>
        <v>163378.88978400003</v>
      </c>
      <c r="H25" s="472">
        <f>G25*H4+G25</f>
        <v>171547.83427320002</v>
      </c>
      <c r="I25" s="491">
        <f>H25*I4+H25</f>
        <v>180125.22598686002</v>
      </c>
    </row>
    <row r="26" spans="1:9" x14ac:dyDescent="0.2">
      <c r="A26" s="482" t="s">
        <v>388</v>
      </c>
      <c r="B26" s="473"/>
      <c r="C26" s="473"/>
      <c r="D26" s="494">
        <f>85%*E20</f>
        <v>600865.59499999997</v>
      </c>
      <c r="E26" s="472">
        <f>D26*E4+D26</f>
        <v>660952.15449999995</v>
      </c>
      <c r="F26" s="472">
        <f>E26*F4+E26</f>
        <v>713828.32685999991</v>
      </c>
      <c r="G26" s="472">
        <f>F26*G4+F26</f>
        <v>763796.30974019994</v>
      </c>
      <c r="H26" s="472">
        <f>G26*H4+G26</f>
        <v>801986.12522720988</v>
      </c>
      <c r="I26" s="491">
        <f>H26*I4+H26</f>
        <v>842085.43148857041</v>
      </c>
    </row>
    <row r="27" spans="1:9" x14ac:dyDescent="0.2">
      <c r="A27" s="482" t="s">
        <v>81</v>
      </c>
      <c r="B27" s="473"/>
      <c r="C27" s="473"/>
      <c r="D27" s="494">
        <f>D12*D20</f>
        <v>25705.48</v>
      </c>
      <c r="E27" s="472">
        <f>D27*E4+D27</f>
        <v>28276.027999999998</v>
      </c>
      <c r="F27" s="472">
        <f>E27*F4+E27</f>
        <v>30538.110239999998</v>
      </c>
      <c r="G27" s="472">
        <f>F27*G4+F27</f>
        <v>32675.777956799997</v>
      </c>
      <c r="H27" s="472">
        <f>G27*H4+G27</f>
        <v>34309.566854639997</v>
      </c>
      <c r="I27" s="491">
        <f>H27*I4+H27</f>
        <v>36025.045197371997</v>
      </c>
    </row>
    <row r="28" spans="1:9" ht="17" thickBot="1" x14ac:dyDescent="0.25">
      <c r="A28" s="479" t="s">
        <v>624</v>
      </c>
      <c r="B28" s="478"/>
      <c r="C28" s="478"/>
      <c r="D28" s="498">
        <f>D13*D20</f>
        <v>51410.96</v>
      </c>
      <c r="E28" s="497">
        <f>D28*E4+D28</f>
        <v>56552.055999999997</v>
      </c>
      <c r="F28" s="496">
        <f>E28*F4+E28</f>
        <v>61076.220479999996</v>
      </c>
      <c r="G28" s="496">
        <f>F28*G4+F28</f>
        <v>65351.555913599994</v>
      </c>
      <c r="H28" s="496">
        <f>G28*H4+G28</f>
        <v>68619.133709279995</v>
      </c>
      <c r="I28" s="495">
        <f>H28*I4+H28</f>
        <v>72050.090394743995</v>
      </c>
    </row>
    <row r="29" spans="1:9" ht="17" thickBot="1" x14ac:dyDescent="0.25"/>
    <row r="30" spans="1:9" ht="19" x14ac:dyDescent="0.25">
      <c r="A30" s="488" t="s">
        <v>623</v>
      </c>
      <c r="B30" s="487"/>
      <c r="C30" s="487"/>
      <c r="D30" s="487"/>
      <c r="E30" s="487"/>
      <c r="F30" s="487"/>
      <c r="G30" s="487"/>
      <c r="H30" s="487"/>
      <c r="I30" s="486"/>
    </row>
    <row r="31" spans="1:9" x14ac:dyDescent="0.2">
      <c r="A31" s="482" t="s">
        <v>622</v>
      </c>
      <c r="B31" s="473"/>
      <c r="C31" s="473"/>
      <c r="D31" s="494">
        <f>D5*D20</f>
        <v>501256.86000000004</v>
      </c>
      <c r="E31" s="472">
        <f>D31*10%+D31</f>
        <v>551382.54600000009</v>
      </c>
      <c r="F31" s="472">
        <f>E31*F4+E31</f>
        <v>595493.14968000015</v>
      </c>
      <c r="G31" s="472">
        <f>F31*G4+F31</f>
        <v>637177.67015760019</v>
      </c>
      <c r="H31" s="472">
        <f>G31*H4+G31</f>
        <v>669036.55366548023</v>
      </c>
      <c r="I31" s="491">
        <f>H31*I4+H31</f>
        <v>702488.38134875428</v>
      </c>
    </row>
    <row r="32" spans="1:9" x14ac:dyDescent="0.2">
      <c r="A32" s="482" t="s">
        <v>411</v>
      </c>
      <c r="B32" s="473"/>
      <c r="C32" s="473"/>
      <c r="D32" s="494">
        <f>D6*D26</f>
        <v>60086.559500000003</v>
      </c>
      <c r="E32" s="472">
        <f>D32*E4+D32</f>
        <v>66095.215450000003</v>
      </c>
      <c r="F32" s="472">
        <f>E32*F4+E32</f>
        <v>71382.832686000009</v>
      </c>
      <c r="G32" s="472">
        <f>F32*G4+F32</f>
        <v>76379.630974020009</v>
      </c>
      <c r="H32" s="472">
        <f>G32*H4+G32</f>
        <v>80198.612522721014</v>
      </c>
      <c r="I32" s="491">
        <f>H32*I4+H32</f>
        <v>84208.543148857061</v>
      </c>
    </row>
    <row r="33" spans="1:10" x14ac:dyDescent="0.2">
      <c r="A33" s="482" t="s">
        <v>621</v>
      </c>
      <c r="B33" s="473"/>
      <c r="C33" s="473"/>
      <c r="D33" s="494">
        <f>D20*D7</f>
        <v>64263.700000000004</v>
      </c>
      <c r="E33" s="472">
        <f>D33*E4+D33</f>
        <v>70690.070000000007</v>
      </c>
      <c r="F33" s="472">
        <f>E33*F4+E33</f>
        <v>76345.275600000008</v>
      </c>
      <c r="G33" s="472">
        <f>F33*G4+F33</f>
        <v>81689.444892000014</v>
      </c>
      <c r="H33" s="472">
        <f>G33*H4+G33</f>
        <v>85773.917136600008</v>
      </c>
      <c r="I33" s="491">
        <f>H33*I4+H33</f>
        <v>90062.612993430012</v>
      </c>
    </row>
    <row r="34" spans="1:10" x14ac:dyDescent="0.2">
      <c r="A34" s="482" t="s">
        <v>620</v>
      </c>
      <c r="B34" s="473"/>
      <c r="C34" s="473"/>
      <c r="D34" s="473">
        <v>0</v>
      </c>
      <c r="E34" s="473">
        <v>0</v>
      </c>
      <c r="F34" s="473">
        <v>0</v>
      </c>
      <c r="G34" s="473">
        <v>0</v>
      </c>
      <c r="H34" s="473">
        <v>0</v>
      </c>
      <c r="I34" s="485">
        <v>0</v>
      </c>
    </row>
    <row r="35" spans="1:10" x14ac:dyDescent="0.2">
      <c r="A35" s="482" t="s">
        <v>414</v>
      </c>
      <c r="B35" s="473"/>
      <c r="C35" s="473"/>
      <c r="D35" s="492">
        <f>D20-D31-D32-D33</f>
        <v>17029.880499999948</v>
      </c>
      <c r="E35" s="472">
        <f t="shared" ref="E35:I36" si="0">D35*E4+D35</f>
        <v>18732.868549999945</v>
      </c>
      <c r="F35" s="472">
        <f t="shared" si="0"/>
        <v>20231.498033999938</v>
      </c>
      <c r="G35" s="472">
        <f t="shared" si="0"/>
        <v>21647.702896379935</v>
      </c>
      <c r="H35" s="472">
        <f t="shared" si="0"/>
        <v>22730.088041198931</v>
      </c>
      <c r="I35" s="491">
        <f t="shared" si="0"/>
        <v>23866.592443258876</v>
      </c>
    </row>
    <row r="36" spans="1:10" ht="17" thickBot="1" x14ac:dyDescent="0.25">
      <c r="A36" s="479" t="s">
        <v>619</v>
      </c>
      <c r="B36" s="478"/>
      <c r="C36" s="478"/>
      <c r="D36" s="490">
        <f>D35*D14</f>
        <v>4257.4701249999871</v>
      </c>
      <c r="E36" s="472">
        <f t="shared" si="0"/>
        <v>7578.2968224999768</v>
      </c>
      <c r="F36" s="472">
        <f t="shared" si="0"/>
        <v>13489.368344049959</v>
      </c>
      <c r="G36" s="472">
        <f t="shared" si="0"/>
        <v>24011.075652408927</v>
      </c>
      <c r="H36" s="472">
        <f t="shared" si="0"/>
        <v>42739.714661287886</v>
      </c>
      <c r="I36" s="472">
        <f t="shared" si="0"/>
        <v>76076.69209709244</v>
      </c>
    </row>
    <row r="37" spans="1:10" ht="19" x14ac:dyDescent="0.25">
      <c r="A37" s="488" t="s">
        <v>618</v>
      </c>
      <c r="B37" s="487"/>
      <c r="C37" s="487"/>
      <c r="D37" s="487"/>
      <c r="E37" s="487"/>
      <c r="F37" s="487"/>
      <c r="G37" s="487"/>
      <c r="H37" s="487"/>
      <c r="I37" s="486"/>
    </row>
    <row r="38" spans="1:10" x14ac:dyDescent="0.2">
      <c r="A38" s="482"/>
      <c r="B38" s="473"/>
      <c r="C38" s="473"/>
      <c r="D38" s="473"/>
      <c r="E38" s="473"/>
      <c r="F38" s="473"/>
      <c r="G38" s="473"/>
      <c r="H38" s="473"/>
      <c r="I38" s="485"/>
    </row>
    <row r="39" spans="1:10" x14ac:dyDescent="0.2">
      <c r="A39" s="482" t="s">
        <v>617</v>
      </c>
      <c r="B39" s="473"/>
      <c r="C39" s="473"/>
      <c r="D39" s="492">
        <f>D23+D24+D25-D27+D28</f>
        <v>231349.32</v>
      </c>
      <c r="E39" s="493">
        <f>D39*E4+D39</f>
        <v>254484.25200000001</v>
      </c>
      <c r="F39" s="472">
        <f>E39*F4+E39</f>
        <v>274842.99216000002</v>
      </c>
      <c r="G39" s="472">
        <f>F39*G4+F39</f>
        <v>294082.00161120004</v>
      </c>
      <c r="H39" s="472">
        <f>G39*H4+G39</f>
        <v>308786.10169176006</v>
      </c>
      <c r="I39" s="491">
        <f>H39*I4+H39</f>
        <v>324225.40677634807</v>
      </c>
    </row>
    <row r="40" spans="1:10" x14ac:dyDescent="0.2">
      <c r="A40" s="482" t="s">
        <v>616</v>
      </c>
      <c r="B40" s="473"/>
      <c r="C40" s="473"/>
      <c r="D40" s="492">
        <f>D24+D25-D27</f>
        <v>167085.62</v>
      </c>
      <c r="E40" s="472">
        <f>D40*E4+D40</f>
        <v>183794.182</v>
      </c>
      <c r="F40" s="472">
        <f>E40*F4+E40</f>
        <v>198497.71656</v>
      </c>
      <c r="G40" s="472">
        <f>F40*G4+F40</f>
        <v>212392.55671919999</v>
      </c>
      <c r="H40" s="472">
        <f>G40*H4+G40</f>
        <v>223012.18455516</v>
      </c>
      <c r="I40" s="491">
        <f>H40*I4+H40</f>
        <v>234162.79378291799</v>
      </c>
    </row>
    <row r="41" spans="1:10" ht="17" thickBot="1" x14ac:dyDescent="0.25">
      <c r="A41" s="479" t="s">
        <v>615</v>
      </c>
      <c r="B41" s="478"/>
      <c r="C41" s="477"/>
      <c r="D41" s="490">
        <f t="shared" ref="D41:I41" si="1">D39-J42</f>
        <v>214640.758</v>
      </c>
      <c r="E41" s="490">
        <f t="shared" si="1"/>
        <v>254484.25200000001</v>
      </c>
      <c r="F41" s="490">
        <f t="shared" si="1"/>
        <v>274842.99216000002</v>
      </c>
      <c r="G41" s="490">
        <f t="shared" si="1"/>
        <v>294082.00161120004</v>
      </c>
      <c r="H41" s="490">
        <f t="shared" si="1"/>
        <v>308786.10169176006</v>
      </c>
      <c r="I41" s="489">
        <f t="shared" si="1"/>
        <v>324225.40677634807</v>
      </c>
      <c r="J41" t="s">
        <v>614</v>
      </c>
    </row>
    <row r="42" spans="1:10" ht="17" thickBot="1" x14ac:dyDescent="0.25">
      <c r="J42" s="186">
        <f>E40-D40</f>
        <v>16708.562000000005</v>
      </c>
    </row>
    <row r="43" spans="1:10" ht="19" x14ac:dyDescent="0.25">
      <c r="A43" s="488" t="s">
        <v>613</v>
      </c>
      <c r="B43" s="487"/>
      <c r="C43" s="487"/>
      <c r="D43" s="487"/>
      <c r="E43" s="487"/>
      <c r="F43" s="487"/>
      <c r="G43" s="487"/>
      <c r="H43" s="487"/>
      <c r="I43" s="486"/>
    </row>
    <row r="44" spans="1:10" x14ac:dyDescent="0.2">
      <c r="A44" s="482"/>
      <c r="B44" s="473"/>
      <c r="C44" s="473"/>
      <c r="D44" s="473"/>
      <c r="E44" s="473"/>
      <c r="F44" s="473"/>
      <c r="G44" s="473"/>
      <c r="H44" s="473"/>
      <c r="I44" s="485"/>
    </row>
    <row r="45" spans="1:10" x14ac:dyDescent="0.2">
      <c r="A45" s="482" t="s">
        <v>612</v>
      </c>
      <c r="B45" s="473"/>
      <c r="C45" s="473"/>
      <c r="D45" s="473"/>
      <c r="E45" s="484">
        <v>0.115</v>
      </c>
      <c r="F45" s="484">
        <v>0.115</v>
      </c>
      <c r="G45" s="484">
        <v>0.115</v>
      </c>
      <c r="H45" s="484">
        <v>0.115</v>
      </c>
      <c r="I45" s="483">
        <v>0.115</v>
      </c>
    </row>
    <row r="46" spans="1:10" x14ac:dyDescent="0.2">
      <c r="A46" s="482" t="s">
        <v>611</v>
      </c>
      <c r="B46" s="473"/>
      <c r="C46" s="473"/>
      <c r="D46" s="481">
        <v>0.06</v>
      </c>
      <c r="E46" s="481">
        <v>0.06</v>
      </c>
      <c r="F46" s="481">
        <v>0.06</v>
      </c>
      <c r="G46" s="481">
        <v>0.06</v>
      </c>
      <c r="H46" s="481">
        <v>0.06</v>
      </c>
      <c r="I46" s="480">
        <v>0.06</v>
      </c>
    </row>
    <row r="47" spans="1:10" x14ac:dyDescent="0.2">
      <c r="A47" s="482" t="s">
        <v>610</v>
      </c>
      <c r="B47" s="473"/>
      <c r="C47" s="473"/>
      <c r="D47" s="481">
        <v>0.61</v>
      </c>
      <c r="E47" s="481">
        <v>0.6</v>
      </c>
      <c r="F47" s="481">
        <v>0.6</v>
      </c>
      <c r="G47" s="481">
        <v>0.6</v>
      </c>
      <c r="H47" s="481">
        <v>0.6</v>
      </c>
      <c r="I47" s="480">
        <v>0.6</v>
      </c>
    </row>
    <row r="48" spans="1:10" x14ac:dyDescent="0.2">
      <c r="A48" s="482" t="s">
        <v>609</v>
      </c>
      <c r="B48" s="473"/>
      <c r="C48" s="473"/>
      <c r="D48" s="481">
        <v>0.1</v>
      </c>
      <c r="E48" s="481">
        <v>0.1</v>
      </c>
      <c r="F48" s="481">
        <v>0.1</v>
      </c>
      <c r="G48" s="481">
        <v>0.1</v>
      </c>
      <c r="H48" s="481">
        <v>0.1</v>
      </c>
      <c r="I48" s="480">
        <v>0.1</v>
      </c>
    </row>
    <row r="49" spans="1:11" ht="17" thickBot="1" x14ac:dyDescent="0.25">
      <c r="A49" s="479" t="s">
        <v>128</v>
      </c>
      <c r="B49" s="478"/>
      <c r="C49" s="478"/>
      <c r="D49" s="478"/>
      <c r="E49" s="478"/>
      <c r="F49" s="477">
        <v>2.08</v>
      </c>
      <c r="G49" s="477">
        <v>0.42700000000000005</v>
      </c>
      <c r="H49" s="476">
        <v>0.59099999999999997</v>
      </c>
      <c r="I49" s="475">
        <v>0.05</v>
      </c>
    </row>
    <row r="52" spans="1:11" ht="22" x14ac:dyDescent="0.3">
      <c r="A52" s="474" t="s">
        <v>608</v>
      </c>
      <c r="B52" s="474"/>
    </row>
    <row r="54" spans="1:11" x14ac:dyDescent="0.2">
      <c r="A54" s="473" t="s">
        <v>607</v>
      </c>
      <c r="B54" s="472">
        <f>I41*(1+I4)/(I45-I4)</f>
        <v>5237487.3402333157</v>
      </c>
    </row>
    <row r="56" spans="1:11" x14ac:dyDescent="0.2">
      <c r="A56" s="473" t="s">
        <v>606</v>
      </c>
      <c r="B56" s="472">
        <f>K56+K59</f>
        <v>3227261.9501534458</v>
      </c>
      <c r="J56" t="s">
        <v>605</v>
      </c>
      <c r="K56" s="186">
        <f>B54/(1+I45)^5</f>
        <v>3039125.6032835138</v>
      </c>
    </row>
    <row r="58" spans="1:11" x14ac:dyDescent="0.2">
      <c r="A58" s="473" t="s">
        <v>604</v>
      </c>
      <c r="B58" s="472">
        <f>B56-K61-K63</f>
        <v>3186713.9501534458</v>
      </c>
    </row>
    <row r="59" spans="1:11" x14ac:dyDescent="0.2">
      <c r="B59" s="471">
        <f>B58/K67</f>
        <v>393.03329429618225</v>
      </c>
      <c r="J59" t="s">
        <v>603</v>
      </c>
      <c r="K59" s="186">
        <f>I41/(1+I45)^5</f>
        <v>188136.34686993179</v>
      </c>
    </row>
    <row r="61" spans="1:11" x14ac:dyDescent="0.2">
      <c r="J61" t="s">
        <v>602</v>
      </c>
      <c r="K61" s="186">
        <v>40460</v>
      </c>
    </row>
    <row r="63" spans="1:11" x14ac:dyDescent="0.2">
      <c r="J63" t="s">
        <v>601</v>
      </c>
      <c r="K63" s="186">
        <v>88</v>
      </c>
    </row>
    <row r="65" spans="10:11" ht="19" x14ac:dyDescent="0.25">
      <c r="K65" s="470"/>
    </row>
    <row r="67" spans="10:11" x14ac:dyDescent="0.2">
      <c r="J67" t="s">
        <v>600</v>
      </c>
      <c r="K67" s="186">
        <v>8108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E976-A384-1848-A1A8-E913B58CCD31}">
  <dimension ref="A1:I32"/>
  <sheetViews>
    <sheetView zoomScale="103" workbookViewId="0">
      <selection activeCell="C32" sqref="C32:I32"/>
    </sheetView>
  </sheetViews>
  <sheetFormatPr baseColWidth="10" defaultColWidth="14.83203125" defaultRowHeight="16" x14ac:dyDescent="0.2"/>
  <cols>
    <col min="1" max="1" width="39.1640625" bestFit="1" customWidth="1"/>
    <col min="2" max="2" width="13.1640625" bestFit="1" customWidth="1"/>
    <col min="5" max="5" width="14.83203125" bestFit="1" customWidth="1"/>
  </cols>
  <sheetData>
    <row r="1" spans="1:9" ht="20" x14ac:dyDescent="0.2">
      <c r="A1" s="620" t="s">
        <v>676</v>
      </c>
      <c r="B1" s="620"/>
      <c r="C1" s="620"/>
      <c r="D1" s="620"/>
      <c r="E1" s="620"/>
    </row>
    <row r="2" spans="1:9" ht="38" thickBot="1" x14ac:dyDescent="0.4">
      <c r="A2" s="556"/>
    </row>
    <row r="3" spans="1:9" x14ac:dyDescent="0.2">
      <c r="A3" s="555" t="s">
        <v>164</v>
      </c>
      <c r="B3" s="633" t="s">
        <v>647</v>
      </c>
      <c r="C3" s="635" t="s">
        <v>675</v>
      </c>
      <c r="D3" s="636"/>
      <c r="E3" s="635" t="s">
        <v>674</v>
      </c>
      <c r="F3" s="639"/>
      <c r="G3" s="639"/>
      <c r="H3" s="639"/>
      <c r="I3" s="640"/>
    </row>
    <row r="4" spans="1:9" x14ac:dyDescent="0.2">
      <c r="A4" s="554" t="s">
        <v>278</v>
      </c>
      <c r="B4" s="634"/>
      <c r="C4" s="637"/>
      <c r="D4" s="638"/>
      <c r="E4" s="637"/>
      <c r="F4" s="641"/>
      <c r="G4" s="641"/>
      <c r="H4" s="641"/>
      <c r="I4" s="642"/>
    </row>
    <row r="5" spans="1:9" x14ac:dyDescent="0.2">
      <c r="A5" s="553" t="s">
        <v>673</v>
      </c>
      <c r="B5" s="527">
        <v>2021</v>
      </c>
      <c r="C5" s="527">
        <v>2022</v>
      </c>
      <c r="D5" s="528">
        <v>2023</v>
      </c>
      <c r="E5" s="527">
        <v>2024</v>
      </c>
      <c r="F5" s="526">
        <v>2025</v>
      </c>
      <c r="G5" s="526">
        <v>2026</v>
      </c>
      <c r="H5" s="526">
        <v>2027</v>
      </c>
      <c r="I5" s="525">
        <v>2028</v>
      </c>
    </row>
    <row r="6" spans="1:9" x14ac:dyDescent="0.2">
      <c r="A6" s="546" t="s">
        <v>672</v>
      </c>
      <c r="B6" s="357">
        <v>0.05</v>
      </c>
      <c r="C6" s="545">
        <v>0.1</v>
      </c>
      <c r="D6" s="544">
        <v>4.2000000000000003E-2</v>
      </c>
      <c r="E6" s="545">
        <v>0.1</v>
      </c>
      <c r="F6" s="357">
        <v>0.08</v>
      </c>
      <c r="G6" s="357">
        <v>7.0000000000000007E-2</v>
      </c>
      <c r="H6" s="357">
        <v>0.05</v>
      </c>
      <c r="I6" s="552">
        <v>0.05</v>
      </c>
    </row>
    <row r="7" spans="1:9" x14ac:dyDescent="0.2">
      <c r="A7" s="546" t="s">
        <v>671</v>
      </c>
      <c r="B7" s="357">
        <v>0.76</v>
      </c>
      <c r="C7" s="547">
        <v>0.77300000000000002</v>
      </c>
      <c r="D7" s="551">
        <v>0.78</v>
      </c>
      <c r="E7" s="551">
        <v>0.78</v>
      </c>
      <c r="F7" s="551">
        <v>0.78</v>
      </c>
      <c r="G7" s="551">
        <v>0.78</v>
      </c>
      <c r="H7" s="551">
        <v>0.78</v>
      </c>
      <c r="I7" s="551">
        <v>0.78</v>
      </c>
    </row>
    <row r="8" spans="1:9" x14ac:dyDescent="0.2">
      <c r="A8" s="546" t="s">
        <v>670</v>
      </c>
      <c r="B8" s="357">
        <v>0.09</v>
      </c>
      <c r="C8" s="547">
        <v>0.10100000000000001</v>
      </c>
      <c r="D8" s="551">
        <v>0.1</v>
      </c>
      <c r="E8" s="551">
        <v>0.1</v>
      </c>
      <c r="F8" s="551">
        <v>0.1</v>
      </c>
      <c r="G8" s="551">
        <v>0.1</v>
      </c>
      <c r="H8" s="551">
        <v>0.1</v>
      </c>
      <c r="I8" s="551">
        <v>0.1</v>
      </c>
    </row>
    <row r="9" spans="1:9" x14ac:dyDescent="0.2">
      <c r="A9" s="546" t="s">
        <v>669</v>
      </c>
      <c r="B9" s="357">
        <v>0.1</v>
      </c>
      <c r="C9" s="547">
        <v>9.8000000000000004E-2</v>
      </c>
      <c r="D9" s="551">
        <v>0.1</v>
      </c>
      <c r="E9" s="551">
        <v>0.1</v>
      </c>
      <c r="F9" s="551">
        <v>0.1</v>
      </c>
      <c r="G9" s="551">
        <v>0.1</v>
      </c>
      <c r="H9" s="551">
        <v>0.1</v>
      </c>
      <c r="I9" s="551">
        <v>0.1</v>
      </c>
    </row>
    <row r="10" spans="1:9" x14ac:dyDescent="0.2">
      <c r="A10" s="546" t="s">
        <v>638</v>
      </c>
      <c r="B10" s="357">
        <v>0.01</v>
      </c>
      <c r="C10" s="547">
        <v>2.1000000000000001E-2</v>
      </c>
      <c r="D10" s="551">
        <v>0.02</v>
      </c>
      <c r="E10" s="551">
        <v>0.02</v>
      </c>
      <c r="F10" s="551">
        <v>0.02</v>
      </c>
      <c r="G10" s="551">
        <v>0.02</v>
      </c>
      <c r="H10" s="551">
        <v>0.02</v>
      </c>
      <c r="I10" s="551">
        <v>0.02</v>
      </c>
    </row>
    <row r="11" spans="1:9" x14ac:dyDescent="0.2">
      <c r="A11" s="546" t="s">
        <v>668</v>
      </c>
      <c r="B11" s="357">
        <v>0.08</v>
      </c>
      <c r="C11" s="545">
        <v>0.08</v>
      </c>
      <c r="D11" s="551">
        <v>0.1</v>
      </c>
      <c r="E11" s="551">
        <v>0.1</v>
      </c>
      <c r="F11" s="551">
        <v>0.1</v>
      </c>
      <c r="G11" s="551">
        <v>0.1</v>
      </c>
      <c r="H11" s="551">
        <v>0.1</v>
      </c>
      <c r="I11" s="551">
        <v>0.1</v>
      </c>
    </row>
    <row r="12" spans="1:9" x14ac:dyDescent="0.2">
      <c r="A12" s="546" t="s">
        <v>636</v>
      </c>
      <c r="B12" s="357">
        <v>0.15</v>
      </c>
      <c r="C12" s="547">
        <v>0.161</v>
      </c>
      <c r="D12" s="551">
        <v>0.2</v>
      </c>
      <c r="E12" s="551">
        <v>0.2</v>
      </c>
      <c r="F12" s="551">
        <v>0.2</v>
      </c>
      <c r="G12" s="551">
        <v>0.2</v>
      </c>
      <c r="H12" s="551">
        <v>0.2</v>
      </c>
      <c r="I12" s="551">
        <v>0.2</v>
      </c>
    </row>
    <row r="13" spans="1:9" x14ac:dyDescent="0.2">
      <c r="A13" s="546" t="s">
        <v>635</v>
      </c>
      <c r="B13" s="357">
        <v>0.33</v>
      </c>
      <c r="C13" s="547">
        <v>0.371</v>
      </c>
      <c r="D13" s="551">
        <v>0.4</v>
      </c>
      <c r="E13" s="551">
        <v>0.4</v>
      </c>
      <c r="F13" s="551">
        <v>0.4</v>
      </c>
      <c r="G13" s="551">
        <v>0.4</v>
      </c>
      <c r="H13" s="551">
        <v>0.4</v>
      </c>
      <c r="I13" s="551">
        <v>0.4</v>
      </c>
    </row>
    <row r="14" spans="1:9" x14ac:dyDescent="0.2">
      <c r="A14" s="546" t="s">
        <v>667</v>
      </c>
      <c r="B14" s="357">
        <v>0.04</v>
      </c>
      <c r="C14" s="547">
        <v>3.7999999999999999E-2</v>
      </c>
      <c r="D14" s="357">
        <v>0.04</v>
      </c>
      <c r="E14" s="357">
        <v>0.04</v>
      </c>
      <c r="F14" s="357">
        <v>0.04</v>
      </c>
      <c r="G14" s="357">
        <v>0.04</v>
      </c>
      <c r="H14" s="357">
        <v>0.04</v>
      </c>
      <c r="I14" s="357">
        <v>0.04</v>
      </c>
    </row>
    <row r="15" spans="1:9" x14ac:dyDescent="0.2">
      <c r="A15" s="546" t="s">
        <v>633</v>
      </c>
      <c r="B15" s="357">
        <v>7.0000000000000007E-2</v>
      </c>
      <c r="C15" s="547">
        <v>7.6999999999999999E-2</v>
      </c>
      <c r="D15" s="551">
        <v>0.08</v>
      </c>
      <c r="E15" s="551">
        <v>0.08</v>
      </c>
      <c r="F15" s="551">
        <v>0.08</v>
      </c>
      <c r="G15" s="551">
        <v>0.08</v>
      </c>
      <c r="H15" s="551">
        <v>0.08</v>
      </c>
      <c r="I15" s="551">
        <v>0.08</v>
      </c>
    </row>
    <row r="16" spans="1:9" x14ac:dyDescent="0.2">
      <c r="A16" s="546" t="s">
        <v>632</v>
      </c>
      <c r="B16" s="357">
        <v>0.25</v>
      </c>
      <c r="C16" s="357">
        <v>0.25</v>
      </c>
      <c r="D16" s="357">
        <v>0.25</v>
      </c>
      <c r="E16" s="357">
        <v>0.25</v>
      </c>
      <c r="F16" s="357">
        <v>0.25</v>
      </c>
      <c r="G16" s="357">
        <v>0.25</v>
      </c>
      <c r="H16" s="357">
        <v>0.25</v>
      </c>
      <c r="I16" s="357">
        <v>0.25</v>
      </c>
    </row>
    <row r="17" spans="1:9" x14ac:dyDescent="0.2">
      <c r="A17" s="543" t="s">
        <v>413</v>
      </c>
      <c r="B17" t="s">
        <v>630</v>
      </c>
      <c r="C17" s="540" t="s">
        <v>630</v>
      </c>
      <c r="D17" s="542" t="s">
        <v>630</v>
      </c>
      <c r="E17" s="540">
        <v>0</v>
      </c>
      <c r="F17" s="196"/>
      <c r="G17" s="196">
        <v>0</v>
      </c>
      <c r="H17" s="196">
        <v>0</v>
      </c>
      <c r="I17" s="539">
        <v>0</v>
      </c>
    </row>
    <row r="18" spans="1:9" x14ac:dyDescent="0.2">
      <c r="A18" s="550" t="s">
        <v>666</v>
      </c>
      <c r="B18" s="630" t="s">
        <v>665</v>
      </c>
      <c r="C18" s="631"/>
      <c r="D18" s="643"/>
      <c r="E18" s="630" t="s">
        <v>664</v>
      </c>
      <c r="F18" s="631"/>
      <c r="G18" s="631"/>
      <c r="H18" s="631"/>
      <c r="I18" s="632"/>
    </row>
    <row r="19" spans="1:9" x14ac:dyDescent="0.2">
      <c r="A19" s="546" t="s">
        <v>663</v>
      </c>
      <c r="B19" s="534">
        <v>0.04</v>
      </c>
      <c r="C19" s="549">
        <v>8.9999999999999993E-3</v>
      </c>
      <c r="D19" s="548">
        <v>5.7000000000000002E-2</v>
      </c>
      <c r="E19" s="534">
        <v>0.04</v>
      </c>
      <c r="F19" s="534">
        <v>0.04</v>
      </c>
      <c r="G19" s="534">
        <v>0.04</v>
      </c>
      <c r="H19" s="534">
        <v>0.04</v>
      </c>
      <c r="I19" s="534">
        <v>0.04</v>
      </c>
    </row>
    <row r="20" spans="1:9" x14ac:dyDescent="0.2">
      <c r="A20" s="546" t="s">
        <v>662</v>
      </c>
      <c r="B20" s="532">
        <v>0.2</v>
      </c>
      <c r="C20" s="545">
        <v>0.11</v>
      </c>
      <c r="D20" s="544">
        <v>0.19800000000000001</v>
      </c>
      <c r="E20" s="532">
        <v>0.2</v>
      </c>
      <c r="F20" s="532">
        <v>0.2</v>
      </c>
      <c r="G20" s="532">
        <v>0.2</v>
      </c>
      <c r="H20" s="532">
        <v>0.2</v>
      </c>
      <c r="I20" s="532">
        <v>0.2</v>
      </c>
    </row>
    <row r="21" spans="1:9" x14ac:dyDescent="0.2">
      <c r="A21" s="546" t="s">
        <v>661</v>
      </c>
      <c r="B21" s="532">
        <v>0.02</v>
      </c>
      <c r="C21" s="547">
        <v>3.1E-2</v>
      </c>
      <c r="D21" s="544">
        <v>3.7999999999999999E-2</v>
      </c>
      <c r="E21" s="532">
        <v>0.02</v>
      </c>
      <c r="F21" s="532">
        <v>0.02</v>
      </c>
      <c r="G21" s="532">
        <v>0.02</v>
      </c>
      <c r="H21" s="532">
        <v>0.02</v>
      </c>
      <c r="I21" s="532">
        <v>0.02</v>
      </c>
    </row>
    <row r="22" spans="1:9" x14ac:dyDescent="0.2">
      <c r="A22" s="546" t="s">
        <v>660</v>
      </c>
      <c r="B22" s="532">
        <v>0.74</v>
      </c>
      <c r="C22" s="545">
        <v>0.85</v>
      </c>
      <c r="D22" s="544">
        <v>0.70699999999999996</v>
      </c>
      <c r="E22" s="532">
        <v>0.74</v>
      </c>
      <c r="F22" s="532">
        <v>0.74</v>
      </c>
      <c r="G22" s="532">
        <v>0.74</v>
      </c>
      <c r="H22" s="532">
        <v>0.74</v>
      </c>
      <c r="I22" s="532">
        <v>0.74</v>
      </c>
    </row>
    <row r="23" spans="1:9" x14ac:dyDescent="0.2">
      <c r="A23" s="543" t="s">
        <v>659</v>
      </c>
      <c r="B23" s="541">
        <v>0</v>
      </c>
      <c r="C23" s="540">
        <v>0</v>
      </c>
      <c r="D23" s="542">
        <v>0</v>
      </c>
      <c r="E23" s="541">
        <v>0</v>
      </c>
      <c r="F23" s="540">
        <v>0</v>
      </c>
      <c r="G23" s="196">
        <v>0</v>
      </c>
      <c r="H23" s="196">
        <v>0</v>
      </c>
      <c r="I23" s="539">
        <v>0</v>
      </c>
    </row>
    <row r="24" spans="1:9" x14ac:dyDescent="0.2">
      <c r="A24" s="538" t="s">
        <v>658</v>
      </c>
      <c r="B24" s="536"/>
      <c r="C24" s="536"/>
      <c r="D24" s="536"/>
      <c r="E24" s="536"/>
      <c r="F24" s="536"/>
      <c r="G24" s="537" t="s">
        <v>403</v>
      </c>
      <c r="H24" s="536"/>
      <c r="I24" s="535"/>
    </row>
    <row r="25" spans="1:9" x14ac:dyDescent="0.2">
      <c r="A25" s="13" t="s">
        <v>657</v>
      </c>
      <c r="E25" s="534">
        <v>0.08</v>
      </c>
      <c r="F25" s="534">
        <v>0.08</v>
      </c>
      <c r="G25" s="534">
        <v>0.08</v>
      </c>
      <c r="H25" s="534">
        <v>0.08</v>
      </c>
      <c r="I25" s="534">
        <v>0.08</v>
      </c>
    </row>
    <row r="26" spans="1:9" x14ac:dyDescent="0.2">
      <c r="A26" s="13" t="s">
        <v>656</v>
      </c>
      <c r="E26" s="532">
        <v>0.1</v>
      </c>
      <c r="F26" s="532">
        <v>0.1</v>
      </c>
      <c r="G26" s="532">
        <v>0.1</v>
      </c>
      <c r="H26" s="532">
        <v>0.1</v>
      </c>
      <c r="I26" s="532">
        <v>0.1</v>
      </c>
    </row>
    <row r="27" spans="1:9" x14ac:dyDescent="0.2">
      <c r="A27" s="13" t="s">
        <v>655</v>
      </c>
      <c r="E27" s="532">
        <v>7.0000000000000007E-2</v>
      </c>
      <c r="F27" s="532">
        <v>7.0000000000000007E-2</v>
      </c>
      <c r="G27" s="532">
        <v>7.0000000000000007E-2</v>
      </c>
      <c r="H27" s="532">
        <v>7.0000000000000007E-2</v>
      </c>
      <c r="I27" s="532">
        <v>7.0000000000000007E-2</v>
      </c>
    </row>
    <row r="28" spans="1:9" x14ac:dyDescent="0.2">
      <c r="A28" s="13" t="s">
        <v>654</v>
      </c>
      <c r="E28" s="533">
        <v>2.1000000000000001E-2</v>
      </c>
      <c r="F28" s="533">
        <v>2.1000000000000001E-2</v>
      </c>
      <c r="G28" s="533">
        <v>2.1000000000000001E-2</v>
      </c>
      <c r="H28" s="533">
        <v>2.1000000000000001E-2</v>
      </c>
      <c r="I28" s="533">
        <v>2.1000000000000001E-2</v>
      </c>
    </row>
    <row r="29" spans="1:9" x14ac:dyDescent="0.2">
      <c r="A29" s="13" t="s">
        <v>653</v>
      </c>
      <c r="E29" s="532">
        <v>0.13</v>
      </c>
      <c r="F29" s="532">
        <v>0.13</v>
      </c>
      <c r="G29" s="532">
        <v>0.13</v>
      </c>
      <c r="H29" s="532">
        <v>0.13</v>
      </c>
      <c r="I29" s="532">
        <v>0.13</v>
      </c>
    </row>
    <row r="30" spans="1:9" x14ac:dyDescent="0.2">
      <c r="A30" s="531" t="s">
        <v>652</v>
      </c>
      <c r="B30" s="196"/>
      <c r="C30" s="196"/>
      <c r="D30" s="196"/>
      <c r="E30" s="530">
        <v>1.4999999999999999E-2</v>
      </c>
      <c r="F30" s="530">
        <v>1.4999999999999999E-2</v>
      </c>
      <c r="G30" s="530">
        <v>1.4999999999999999E-2</v>
      </c>
      <c r="H30" s="530">
        <v>1.4999999999999999E-2</v>
      </c>
      <c r="I30" s="530">
        <v>1.4999999999999999E-2</v>
      </c>
    </row>
    <row r="31" spans="1:9" x14ac:dyDescent="0.2">
      <c r="A31" s="529" t="s">
        <v>651</v>
      </c>
      <c r="C31" s="630" t="s">
        <v>650</v>
      </c>
      <c r="D31" s="643"/>
      <c r="E31" s="630" t="s">
        <v>403</v>
      </c>
      <c r="F31" s="631"/>
      <c r="G31" s="631"/>
      <c r="H31" s="631"/>
      <c r="I31" s="632"/>
    </row>
    <row r="32" spans="1:9" ht="17" thickBot="1" x14ac:dyDescent="0.25">
      <c r="A32" s="426" t="s">
        <v>649</v>
      </c>
      <c r="B32" s="197"/>
      <c r="C32" s="524">
        <v>0.11</v>
      </c>
      <c r="D32" s="523">
        <v>0.01</v>
      </c>
      <c r="E32" s="358">
        <v>0.05</v>
      </c>
      <c r="F32" s="358">
        <v>0.05</v>
      </c>
      <c r="G32" s="358">
        <v>0.05</v>
      </c>
      <c r="H32" s="358">
        <v>0.05</v>
      </c>
      <c r="I32" s="358">
        <v>0.05</v>
      </c>
    </row>
  </sheetData>
  <mergeCells count="8">
    <mergeCell ref="E31:I31"/>
    <mergeCell ref="A1:E1"/>
    <mergeCell ref="B3:B4"/>
    <mergeCell ref="C3:D4"/>
    <mergeCell ref="E3:I4"/>
    <mergeCell ref="B18:D18"/>
    <mergeCell ref="E18:I18"/>
    <mergeCell ref="C31:D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E18F-12C0-B345-BB17-CCC45F9DA4FB}">
  <dimension ref="A1:Q229"/>
  <sheetViews>
    <sheetView topLeftCell="A182" zoomScale="88" zoomScaleNormal="124" workbookViewId="0">
      <selection activeCell="D63" sqref="D63"/>
    </sheetView>
  </sheetViews>
  <sheetFormatPr baseColWidth="10" defaultColWidth="10.6640625" defaultRowHeight="16" x14ac:dyDescent="0.2"/>
  <cols>
    <col min="1" max="1" width="48.33203125" customWidth="1"/>
    <col min="2" max="2" width="41.5" customWidth="1"/>
    <col min="3" max="3" width="33" bestFit="1" customWidth="1"/>
    <col min="4" max="4" width="12.83203125" bestFit="1" customWidth="1"/>
    <col min="5" max="5" width="13" bestFit="1" customWidth="1"/>
    <col min="6" max="6" width="16.6640625" bestFit="1" customWidth="1"/>
    <col min="7" max="7" width="16" customWidth="1"/>
    <col min="8" max="8" width="17.6640625" customWidth="1"/>
    <col min="9" max="9" width="52.5" style="91" customWidth="1"/>
    <col min="10" max="10" width="69.83203125" customWidth="1"/>
  </cols>
  <sheetData>
    <row r="1" spans="1:8" ht="31" thickBot="1" x14ac:dyDescent="0.4">
      <c r="A1" s="49" t="s">
        <v>147</v>
      </c>
      <c r="B1" s="644" t="s">
        <v>184</v>
      </c>
      <c r="C1" s="645"/>
      <c r="D1" s="645"/>
      <c r="E1" s="645"/>
      <c r="F1" s="645"/>
      <c r="G1" s="645"/>
      <c r="H1" s="646"/>
    </row>
    <row r="2" spans="1:8" ht="44.25" customHeight="1" x14ac:dyDescent="0.3">
      <c r="A2" s="50" t="s">
        <v>138</v>
      </c>
      <c r="B2" s="10"/>
      <c r="C2" s="10"/>
      <c r="D2" s="77"/>
      <c r="E2" s="51" t="s">
        <v>5</v>
      </c>
      <c r="F2" s="85"/>
      <c r="G2" s="77"/>
      <c r="H2" s="78"/>
    </row>
    <row r="3" spans="1:8" ht="40" x14ac:dyDescent="0.25">
      <c r="A3" s="21"/>
      <c r="B3" s="21"/>
      <c r="C3" s="3"/>
      <c r="D3" s="52" t="s">
        <v>144</v>
      </c>
      <c r="E3" s="52" t="s">
        <v>145</v>
      </c>
      <c r="F3" s="52" t="s">
        <v>6</v>
      </c>
      <c r="G3" s="52" t="s">
        <v>146</v>
      </c>
      <c r="H3" s="53" t="s">
        <v>157</v>
      </c>
    </row>
    <row r="4" spans="1:8" ht="20" x14ac:dyDescent="0.25">
      <c r="A4" s="19" t="s">
        <v>26</v>
      </c>
      <c r="B4" s="16"/>
      <c r="C4" s="16"/>
      <c r="D4" s="17"/>
      <c r="E4" s="17"/>
      <c r="F4" s="17"/>
      <c r="G4" s="17"/>
      <c r="H4" s="18"/>
    </row>
    <row r="5" spans="1:8" ht="19" x14ac:dyDescent="0.25">
      <c r="A5" s="69" t="s">
        <v>2</v>
      </c>
      <c r="B5" s="21"/>
      <c r="C5" s="21"/>
      <c r="D5" s="22">
        <v>105803</v>
      </c>
      <c r="E5" s="22">
        <v>107588</v>
      </c>
      <c r="F5" s="22">
        <v>104611</v>
      </c>
      <c r="G5" s="22">
        <v>92400</v>
      </c>
      <c r="H5" s="23">
        <v>77130</v>
      </c>
    </row>
    <row r="6" spans="1:8" ht="19" x14ac:dyDescent="0.25">
      <c r="A6" s="69" t="s">
        <v>46</v>
      </c>
      <c r="B6" s="21"/>
      <c r="C6" s="21"/>
      <c r="D6" s="22">
        <v>1609</v>
      </c>
      <c r="E6" s="22">
        <v>1532</v>
      </c>
      <c r="F6" s="22">
        <v>1394</v>
      </c>
      <c r="G6" s="22">
        <v>1161</v>
      </c>
      <c r="H6" s="23">
        <v>982</v>
      </c>
    </row>
    <row r="7" spans="1:8" ht="19" x14ac:dyDescent="0.25">
      <c r="A7" s="79" t="s">
        <v>47</v>
      </c>
      <c r="B7" s="21"/>
      <c r="C7" s="21"/>
      <c r="D7" s="22">
        <f>D5+D6</f>
        <v>107412</v>
      </c>
      <c r="E7" s="22">
        <f t="shared" ref="E7:F7" si="0">E5+E6</f>
        <v>109120</v>
      </c>
      <c r="F7" s="22">
        <f t="shared" si="0"/>
        <v>106005</v>
      </c>
      <c r="G7" s="22">
        <f t="shared" ref="G7" si="1">G5+G6</f>
        <v>93561</v>
      </c>
      <c r="H7" s="23">
        <f t="shared" ref="H7" si="2">H5+H6</f>
        <v>78112</v>
      </c>
    </row>
    <row r="8" spans="1:8" ht="19" x14ac:dyDescent="0.25">
      <c r="A8" s="80" t="s">
        <v>48</v>
      </c>
      <c r="B8" s="21"/>
      <c r="C8" s="21"/>
      <c r="D8" s="22"/>
      <c r="E8" s="22"/>
      <c r="F8" s="22"/>
      <c r="G8" s="22"/>
      <c r="H8" s="23"/>
    </row>
    <row r="9" spans="1:8" ht="19" x14ac:dyDescent="0.25">
      <c r="A9" s="69" t="s">
        <v>49</v>
      </c>
      <c r="B9" s="21"/>
      <c r="C9" s="21"/>
      <c r="D9" s="22">
        <v>77736</v>
      </c>
      <c r="E9" s="22">
        <v>82229</v>
      </c>
      <c r="F9" s="22">
        <v>74963</v>
      </c>
      <c r="G9" s="22">
        <v>66177</v>
      </c>
      <c r="H9" s="23">
        <v>54864</v>
      </c>
    </row>
    <row r="10" spans="1:8" ht="20" x14ac:dyDescent="0.25">
      <c r="A10" s="28" t="s">
        <v>68</v>
      </c>
      <c r="B10" s="21"/>
      <c r="C10" s="21"/>
      <c r="D10" s="22">
        <v>21554</v>
      </c>
      <c r="E10" s="22">
        <v>20658</v>
      </c>
      <c r="F10" s="22">
        <v>19752</v>
      </c>
      <c r="G10" s="22">
        <v>18615</v>
      </c>
      <c r="H10" s="23">
        <v>16233</v>
      </c>
    </row>
    <row r="11" spans="1:8" ht="40" x14ac:dyDescent="0.25">
      <c r="A11" s="28" t="s">
        <v>50</v>
      </c>
      <c r="B11" s="21"/>
      <c r="C11" s="21"/>
      <c r="D11" s="22">
        <v>2415</v>
      </c>
      <c r="E11" s="22">
        <v>2385</v>
      </c>
      <c r="F11" s="22">
        <v>2344</v>
      </c>
      <c r="G11" s="22">
        <v>2230</v>
      </c>
      <c r="H11" s="23">
        <v>2357</v>
      </c>
    </row>
    <row r="12" spans="1:8" ht="19" x14ac:dyDescent="0.25">
      <c r="A12" s="79" t="s">
        <v>51</v>
      </c>
      <c r="B12" s="21"/>
      <c r="C12" s="21"/>
      <c r="D12" s="22">
        <f>D9+D10+D11</f>
        <v>101705</v>
      </c>
      <c r="E12" s="22">
        <f t="shared" ref="E12:F12" si="3">E9+E10+E11</f>
        <v>105272</v>
      </c>
      <c r="F12" s="22">
        <f t="shared" si="3"/>
        <v>97059</v>
      </c>
      <c r="G12" s="22">
        <f t="shared" ref="G12" si="4">G9+G10+G11</f>
        <v>87022</v>
      </c>
      <c r="H12" s="23">
        <f t="shared" ref="H12" si="5">H9+H10+H11</f>
        <v>73454</v>
      </c>
    </row>
    <row r="13" spans="1:8" ht="19" x14ac:dyDescent="0.25">
      <c r="A13" s="79" t="s">
        <v>52</v>
      </c>
      <c r="B13" s="21"/>
      <c r="C13" s="21"/>
      <c r="D13" s="22">
        <f>D7-D12</f>
        <v>5707</v>
      </c>
      <c r="E13" s="22">
        <f t="shared" ref="E13:F13" si="6">E7-E12</f>
        <v>3848</v>
      </c>
      <c r="F13" s="22">
        <f t="shared" si="6"/>
        <v>8946</v>
      </c>
      <c r="G13" s="22">
        <f t="shared" ref="G13" si="7">G7-G12</f>
        <v>6539</v>
      </c>
      <c r="H13" s="23">
        <f t="shared" ref="H13" si="8">H7-H12</f>
        <v>4658</v>
      </c>
    </row>
    <row r="14" spans="1:8" ht="19" x14ac:dyDescent="0.25">
      <c r="A14" s="81" t="s">
        <v>58</v>
      </c>
      <c r="B14" s="21"/>
      <c r="C14" s="21"/>
      <c r="D14" s="22"/>
      <c r="E14" s="22"/>
      <c r="F14" s="22"/>
      <c r="G14" s="22"/>
      <c r="H14" s="23"/>
    </row>
    <row r="15" spans="1:8" ht="19" x14ac:dyDescent="0.25">
      <c r="A15" s="69" t="s">
        <v>53</v>
      </c>
      <c r="B15" s="21"/>
      <c r="C15" s="21"/>
      <c r="D15" s="22">
        <v>502</v>
      </c>
      <c r="E15" s="22">
        <v>478</v>
      </c>
      <c r="F15" s="22">
        <v>421</v>
      </c>
      <c r="G15" s="22">
        <v>977</v>
      </c>
      <c r="H15" s="23">
        <v>477</v>
      </c>
    </row>
    <row r="16" spans="1:8" ht="19" x14ac:dyDescent="0.25">
      <c r="A16" s="69" t="s">
        <v>54</v>
      </c>
      <c r="B16" s="21"/>
      <c r="C16" s="21"/>
      <c r="D16" s="22">
        <v>-92</v>
      </c>
      <c r="E16" s="22">
        <v>-48</v>
      </c>
      <c r="F16" s="22">
        <v>-382</v>
      </c>
      <c r="G16" s="22">
        <v>16</v>
      </c>
      <c r="H16" s="23">
        <v>-9</v>
      </c>
    </row>
    <row r="17" spans="1:9" ht="19" x14ac:dyDescent="0.25">
      <c r="A17" s="79" t="s">
        <v>55</v>
      </c>
      <c r="B17" s="21"/>
      <c r="C17" s="21"/>
      <c r="D17" s="22">
        <f>D13-D15-D16</f>
        <v>5297</v>
      </c>
      <c r="E17" s="22">
        <f t="shared" ref="E17:F17" si="9">E13-E15-E16</f>
        <v>3418</v>
      </c>
      <c r="F17" s="22">
        <f t="shared" si="9"/>
        <v>8907</v>
      </c>
      <c r="G17" s="22">
        <f t="shared" ref="G17" si="10">G13-G15-G16</f>
        <v>5546</v>
      </c>
      <c r="H17" s="23">
        <f t="shared" ref="H17" si="11">H13-H15-H16</f>
        <v>4190</v>
      </c>
    </row>
    <row r="18" spans="1:9" ht="19" x14ac:dyDescent="0.25">
      <c r="A18" s="82" t="s">
        <v>56</v>
      </c>
      <c r="B18" s="21"/>
      <c r="C18" s="21"/>
      <c r="D18" s="22">
        <v>1159</v>
      </c>
      <c r="E18" s="22">
        <v>638</v>
      </c>
      <c r="F18" s="22">
        <v>1961</v>
      </c>
      <c r="G18" s="22">
        <v>1178</v>
      </c>
      <c r="H18" s="23">
        <v>921</v>
      </c>
    </row>
    <row r="19" spans="1:9" ht="19" x14ac:dyDescent="0.25">
      <c r="A19" s="79" t="s">
        <v>57</v>
      </c>
      <c r="B19" s="21"/>
      <c r="C19" s="21"/>
      <c r="D19" s="22">
        <f>D17-D18</f>
        <v>4138</v>
      </c>
      <c r="E19" s="22">
        <f t="shared" ref="E19:F19" si="12">E17-E18</f>
        <v>2780</v>
      </c>
      <c r="F19" s="22">
        <f t="shared" si="12"/>
        <v>6946</v>
      </c>
      <c r="G19" s="22">
        <f t="shared" ref="G19" si="13">G17-G18</f>
        <v>4368</v>
      </c>
      <c r="H19" s="23">
        <v>3281</v>
      </c>
    </row>
    <row r="20" spans="1:9" ht="20" x14ac:dyDescent="0.25">
      <c r="A20" s="19" t="s">
        <v>59</v>
      </c>
      <c r="B20" s="21"/>
      <c r="C20" s="21"/>
      <c r="D20" s="22"/>
      <c r="E20" s="22"/>
      <c r="F20" s="22"/>
      <c r="G20" s="22"/>
      <c r="H20" s="23"/>
    </row>
    <row r="21" spans="1:9" ht="35" x14ac:dyDescent="0.25">
      <c r="A21" s="69" t="s">
        <v>60</v>
      </c>
      <c r="B21" s="21"/>
      <c r="C21" s="21"/>
      <c r="D21" s="22">
        <v>-23</v>
      </c>
      <c r="E21" s="22">
        <v>-113</v>
      </c>
      <c r="F21" s="22">
        <v>152</v>
      </c>
      <c r="G21" s="22">
        <v>102</v>
      </c>
      <c r="H21" s="23">
        <v>-65</v>
      </c>
      <c r="I21" s="126" t="s">
        <v>125</v>
      </c>
    </row>
    <row r="22" spans="1:9" ht="40" x14ac:dyDescent="0.25">
      <c r="A22" s="28" t="s">
        <v>61</v>
      </c>
      <c r="B22" s="21"/>
      <c r="C22" s="21"/>
      <c r="D22" s="22">
        <v>-18</v>
      </c>
      <c r="E22" s="22">
        <v>247</v>
      </c>
      <c r="F22" s="22">
        <v>51</v>
      </c>
      <c r="G22" s="22">
        <v>10</v>
      </c>
      <c r="H22" s="23">
        <v>2</v>
      </c>
    </row>
    <row r="23" spans="1:9" ht="20" x14ac:dyDescent="0.25">
      <c r="A23" s="24" t="s">
        <v>62</v>
      </c>
      <c r="B23" s="21"/>
      <c r="C23" s="21"/>
      <c r="D23" s="22">
        <f>D21+D22</f>
        <v>-41</v>
      </c>
      <c r="E23" s="22">
        <f t="shared" ref="E23:F23" si="14">E21+E22</f>
        <v>134</v>
      </c>
      <c r="F23" s="22">
        <f t="shared" si="14"/>
        <v>203</v>
      </c>
      <c r="G23" s="22">
        <f t="shared" ref="G23" si="15">G21+G22</f>
        <v>112</v>
      </c>
      <c r="H23" s="23">
        <f t="shared" ref="H23" si="16">H21+H22</f>
        <v>-63</v>
      </c>
    </row>
    <row r="24" spans="1:9" ht="19" x14ac:dyDescent="0.25">
      <c r="A24" s="80" t="s">
        <v>63</v>
      </c>
      <c r="B24" s="21"/>
      <c r="C24" s="21"/>
      <c r="D24" s="22">
        <f>D19+D23</f>
        <v>4097</v>
      </c>
      <c r="E24" s="22">
        <f t="shared" ref="E24:F24" si="17">E19+E23</f>
        <v>2914</v>
      </c>
      <c r="F24" s="22">
        <f t="shared" si="17"/>
        <v>7149</v>
      </c>
      <c r="G24" s="22">
        <f t="shared" ref="G24" si="18">G19+G23</f>
        <v>4480</v>
      </c>
      <c r="H24" s="23">
        <f t="shared" ref="H24" si="19">H19+H23</f>
        <v>3218</v>
      </c>
    </row>
    <row r="25" spans="1:9" ht="19" x14ac:dyDescent="0.25">
      <c r="A25" s="69"/>
      <c r="B25" s="21"/>
      <c r="C25" s="21"/>
      <c r="D25" s="21"/>
      <c r="E25" s="21"/>
      <c r="F25" s="21"/>
      <c r="G25" s="21"/>
      <c r="H25" s="66"/>
    </row>
    <row r="26" spans="1:9" ht="19" x14ac:dyDescent="0.25">
      <c r="A26" s="69"/>
      <c r="B26" s="21"/>
      <c r="C26" s="21"/>
      <c r="D26" s="21"/>
      <c r="E26" s="21"/>
      <c r="F26" s="21"/>
      <c r="G26" s="21"/>
      <c r="H26" s="66"/>
    </row>
    <row r="27" spans="1:9" ht="19" x14ac:dyDescent="0.25">
      <c r="A27" s="80" t="s">
        <v>34</v>
      </c>
      <c r="B27" s="21"/>
      <c r="C27" s="21"/>
      <c r="D27" s="21"/>
      <c r="E27" s="21"/>
      <c r="F27" s="21"/>
      <c r="G27" s="21"/>
      <c r="H27" s="66"/>
    </row>
    <row r="28" spans="1:9" ht="19" x14ac:dyDescent="0.25">
      <c r="A28" s="69" t="s">
        <v>64</v>
      </c>
      <c r="B28" s="21"/>
      <c r="C28" s="21"/>
      <c r="D28" s="33">
        <v>8.9600000000000009</v>
      </c>
      <c r="E28" s="33">
        <v>6.02</v>
      </c>
      <c r="F28" s="33">
        <v>14.23</v>
      </c>
      <c r="G28" s="33">
        <v>8.7200000000000006</v>
      </c>
      <c r="H28" s="34">
        <v>6.39</v>
      </c>
    </row>
    <row r="29" spans="1:9" ht="19" x14ac:dyDescent="0.25">
      <c r="A29" s="69" t="s">
        <v>65</v>
      </c>
      <c r="B29" s="21"/>
      <c r="C29" s="21"/>
      <c r="D29" s="33">
        <v>8.94</v>
      </c>
      <c r="E29" s="33">
        <v>5.98</v>
      </c>
      <c r="F29" s="33">
        <v>14.1</v>
      </c>
      <c r="G29" s="33">
        <v>8.64</v>
      </c>
      <c r="H29" s="34">
        <v>6.36</v>
      </c>
    </row>
    <row r="30" spans="1:9" ht="20" x14ac:dyDescent="0.25">
      <c r="A30" s="19" t="s">
        <v>66</v>
      </c>
      <c r="B30" s="21"/>
      <c r="C30" s="21"/>
      <c r="D30" s="21"/>
      <c r="E30" s="21"/>
      <c r="F30" s="21"/>
      <c r="G30" s="21"/>
      <c r="H30" s="66"/>
    </row>
    <row r="31" spans="1:9" ht="19" x14ac:dyDescent="0.25">
      <c r="A31" s="69" t="s">
        <v>32</v>
      </c>
      <c r="B31" s="21"/>
      <c r="C31" s="21"/>
      <c r="D31" s="21">
        <v>461.5</v>
      </c>
      <c r="E31" s="21">
        <v>462.1</v>
      </c>
      <c r="F31" s="21">
        <v>488.1</v>
      </c>
      <c r="G31" s="21">
        <v>500.6</v>
      </c>
      <c r="H31" s="66">
        <v>510.9</v>
      </c>
    </row>
    <row r="32" spans="1:9" ht="19" x14ac:dyDescent="0.25">
      <c r="A32" s="69" t="s">
        <v>33</v>
      </c>
      <c r="B32" s="21"/>
      <c r="C32" s="21"/>
      <c r="D32" s="21">
        <v>462.8</v>
      </c>
      <c r="E32" s="21">
        <v>464.7</v>
      </c>
      <c r="F32" s="21">
        <v>492.7</v>
      </c>
      <c r="G32" s="21">
        <v>505.4</v>
      </c>
      <c r="H32" s="66">
        <v>516.6</v>
      </c>
    </row>
    <row r="33" spans="1:9" ht="19" x14ac:dyDescent="0.25">
      <c r="A33" s="69" t="s">
        <v>67</v>
      </c>
      <c r="B33" s="21"/>
      <c r="C33" s="21"/>
      <c r="D33" s="21"/>
      <c r="E33" s="21"/>
      <c r="F33" s="21"/>
      <c r="G33" s="21"/>
      <c r="H33" s="66"/>
    </row>
    <row r="34" spans="1:9" ht="19" x14ac:dyDescent="0.25">
      <c r="A34" s="69"/>
      <c r="B34" s="21"/>
      <c r="C34" s="21"/>
      <c r="D34" s="21"/>
      <c r="E34" s="21"/>
      <c r="F34" s="21"/>
      <c r="G34" s="21"/>
      <c r="H34" s="66"/>
    </row>
    <row r="35" spans="1:9" ht="20" thickBot="1" x14ac:dyDescent="0.3">
      <c r="A35" s="83" t="s">
        <v>4</v>
      </c>
      <c r="B35" s="39"/>
      <c r="C35" s="39"/>
      <c r="D35" s="84">
        <v>0.219</v>
      </c>
      <c r="E35" s="84">
        <v>0.187</v>
      </c>
      <c r="F35" s="64">
        <v>0.22</v>
      </c>
      <c r="G35" s="41">
        <v>0.21199999999999999</v>
      </c>
      <c r="H35" s="65">
        <v>0.22</v>
      </c>
      <c r="I35" s="91" t="s">
        <v>126</v>
      </c>
    </row>
    <row r="36" spans="1:9" ht="17" thickBot="1" x14ac:dyDescent="0.25"/>
    <row r="37" spans="1:9" ht="46" x14ac:dyDescent="0.3">
      <c r="A37" s="50" t="s">
        <v>139</v>
      </c>
      <c r="B37" s="5"/>
      <c r="C37" s="5"/>
      <c r="D37" s="5"/>
      <c r="E37" s="5"/>
      <c r="F37" s="5"/>
      <c r="G37" s="5"/>
      <c r="H37" s="12"/>
    </row>
    <row r="38" spans="1:9" x14ac:dyDescent="0.2">
      <c r="A38" s="13"/>
      <c r="H38" s="11"/>
    </row>
    <row r="39" spans="1:9" ht="19" x14ac:dyDescent="0.25">
      <c r="A39" s="80" t="s">
        <v>78</v>
      </c>
      <c r="B39" s="21"/>
      <c r="C39" s="21"/>
      <c r="D39" s="21"/>
      <c r="E39" s="21"/>
      <c r="F39" s="21"/>
      <c r="G39" s="21"/>
      <c r="H39" s="66"/>
      <c r="I39" s="91" t="s">
        <v>121</v>
      </c>
    </row>
    <row r="40" spans="1:9" ht="19" x14ac:dyDescent="0.25">
      <c r="A40" s="69" t="s">
        <v>69</v>
      </c>
      <c r="B40" s="21"/>
      <c r="C40" s="22"/>
      <c r="D40" s="22">
        <v>3805</v>
      </c>
      <c r="E40" s="86">
        <v>2229</v>
      </c>
      <c r="F40" s="86">
        <v>5911</v>
      </c>
      <c r="G40" s="86">
        <v>8511</v>
      </c>
      <c r="H40" s="87">
        <v>2577</v>
      </c>
      <c r="I40" s="94"/>
    </row>
    <row r="41" spans="1:9" ht="19" x14ac:dyDescent="0.25">
      <c r="A41" s="69" t="s">
        <v>102</v>
      </c>
      <c r="B41" s="21"/>
      <c r="C41" s="22"/>
      <c r="D41" s="22">
        <v>11886</v>
      </c>
      <c r="E41" s="86">
        <v>13499</v>
      </c>
      <c r="F41" s="86">
        <v>13902</v>
      </c>
      <c r="G41" s="86">
        <v>10653</v>
      </c>
      <c r="H41" s="87">
        <v>8992</v>
      </c>
      <c r="I41" s="94"/>
    </row>
    <row r="42" spans="1:9" ht="19" x14ac:dyDescent="0.25">
      <c r="A42" s="69" t="s">
        <v>103</v>
      </c>
      <c r="B42" s="21"/>
      <c r="C42" s="22"/>
      <c r="D42" s="22">
        <v>1807</v>
      </c>
      <c r="E42" s="86">
        <v>2118</v>
      </c>
      <c r="F42" s="86">
        <v>1760</v>
      </c>
      <c r="G42" s="86">
        <v>1592</v>
      </c>
      <c r="H42" s="87">
        <v>1333</v>
      </c>
      <c r="I42" s="94"/>
    </row>
    <row r="43" spans="1:9" ht="19" x14ac:dyDescent="0.25">
      <c r="A43" s="79" t="s">
        <v>72</v>
      </c>
      <c r="B43" s="21"/>
      <c r="C43" s="22"/>
      <c r="D43" s="86">
        <f t="shared" ref="D43:E43" si="20">SUM(D40:D42)</f>
        <v>17498</v>
      </c>
      <c r="E43" s="86">
        <f t="shared" si="20"/>
        <v>17846</v>
      </c>
      <c r="F43" s="86">
        <f>SUM(F40:F42)</f>
        <v>21573</v>
      </c>
      <c r="G43" s="86">
        <f t="shared" ref="G43:H43" si="21">SUM(G40:G42)</f>
        <v>20756</v>
      </c>
      <c r="H43" s="87">
        <f t="shared" si="21"/>
        <v>12902</v>
      </c>
      <c r="I43" s="94"/>
    </row>
    <row r="44" spans="1:9" ht="19" x14ac:dyDescent="0.25">
      <c r="A44" s="69" t="s">
        <v>104</v>
      </c>
      <c r="B44" s="21"/>
      <c r="C44" s="22"/>
      <c r="D44" s="22">
        <v>33096</v>
      </c>
      <c r="E44" s="86">
        <v>31512</v>
      </c>
      <c r="F44" s="86">
        <v>28181</v>
      </c>
      <c r="G44" s="86">
        <v>26879</v>
      </c>
      <c r="H44" s="87">
        <v>26283</v>
      </c>
      <c r="I44" s="94"/>
    </row>
    <row r="45" spans="1:9" ht="19" x14ac:dyDescent="0.25">
      <c r="A45" s="69" t="s">
        <v>105</v>
      </c>
      <c r="B45" s="21"/>
      <c r="C45" s="22"/>
      <c r="D45" s="22">
        <v>3362</v>
      </c>
      <c r="E45" s="86">
        <v>2657</v>
      </c>
      <c r="F45" s="86">
        <v>2556</v>
      </c>
      <c r="G45" s="86">
        <v>2227</v>
      </c>
      <c r="H45" s="87">
        <v>2236</v>
      </c>
      <c r="I45" s="94"/>
    </row>
    <row r="46" spans="1:9" ht="19" x14ac:dyDescent="0.25">
      <c r="A46" s="69" t="s">
        <v>106</v>
      </c>
      <c r="B46" s="21"/>
      <c r="C46" s="22"/>
      <c r="D46" s="22">
        <v>1400</v>
      </c>
      <c r="E46" s="86">
        <v>1320</v>
      </c>
      <c r="F46" s="86">
        <v>1501</v>
      </c>
      <c r="G46" s="86">
        <v>1386</v>
      </c>
      <c r="H46" s="87">
        <v>1358</v>
      </c>
      <c r="I46" s="94"/>
    </row>
    <row r="47" spans="1:9" ht="19" x14ac:dyDescent="0.25">
      <c r="A47" s="79" t="s">
        <v>1</v>
      </c>
      <c r="B47" s="21"/>
      <c r="C47" s="22"/>
      <c r="D47" s="86">
        <f t="shared" ref="D47:E47" si="22">SUM(D43:D46)</f>
        <v>55356</v>
      </c>
      <c r="E47" s="86">
        <f t="shared" si="22"/>
        <v>53335</v>
      </c>
      <c r="F47" s="86">
        <f>SUM(F43:F46)</f>
        <v>53811</v>
      </c>
      <c r="G47" s="86">
        <f>SUM(G43:G46)</f>
        <v>51248</v>
      </c>
      <c r="H47" s="87">
        <f>SUM(H43:H46)</f>
        <v>42779</v>
      </c>
      <c r="I47" s="94"/>
    </row>
    <row r="48" spans="1:9" ht="19" x14ac:dyDescent="0.25">
      <c r="A48" s="69"/>
      <c r="B48" s="21"/>
      <c r="C48" s="22"/>
      <c r="D48" s="22"/>
      <c r="E48" s="86"/>
      <c r="F48" s="86"/>
      <c r="G48" s="86"/>
      <c r="H48" s="87"/>
      <c r="I48" s="94"/>
    </row>
    <row r="49" spans="1:9" ht="20" x14ac:dyDescent="0.25">
      <c r="A49" s="19" t="s">
        <v>107</v>
      </c>
      <c r="B49" s="88"/>
      <c r="C49" s="22"/>
      <c r="D49" s="22"/>
      <c r="E49" s="86"/>
      <c r="F49" s="86"/>
      <c r="G49" s="86"/>
      <c r="H49" s="87"/>
      <c r="I49" s="94"/>
    </row>
    <row r="50" spans="1:9" ht="19" x14ac:dyDescent="0.25">
      <c r="A50" s="69" t="s">
        <v>81</v>
      </c>
      <c r="B50" s="21"/>
      <c r="C50" s="22"/>
      <c r="D50" s="22">
        <v>12098</v>
      </c>
      <c r="E50" s="86">
        <v>13487</v>
      </c>
      <c r="F50" s="86">
        <v>15478</v>
      </c>
      <c r="G50" s="86">
        <v>12859</v>
      </c>
      <c r="H50" s="87">
        <v>9920</v>
      </c>
      <c r="I50" s="94"/>
    </row>
    <row r="51" spans="1:9" ht="19" x14ac:dyDescent="0.25">
      <c r="A51" s="69" t="s">
        <v>108</v>
      </c>
      <c r="B51" s="21"/>
      <c r="C51" s="22"/>
      <c r="D51" s="22">
        <v>6090</v>
      </c>
      <c r="E51" s="86">
        <v>5883</v>
      </c>
      <c r="F51" s="86">
        <v>6098</v>
      </c>
      <c r="G51" s="86">
        <v>6122</v>
      </c>
      <c r="H51" s="87">
        <v>4406</v>
      </c>
      <c r="I51" s="94"/>
    </row>
    <row r="52" spans="1:9" ht="40" x14ac:dyDescent="0.25">
      <c r="A52" s="28" t="s">
        <v>109</v>
      </c>
      <c r="B52" s="21"/>
      <c r="C52" s="22"/>
      <c r="D52" s="22">
        <v>1116</v>
      </c>
      <c r="E52" s="86">
        <v>130</v>
      </c>
      <c r="F52" s="86">
        <v>171</v>
      </c>
      <c r="G52" s="86">
        <v>1144</v>
      </c>
      <c r="H52" s="87">
        <v>161</v>
      </c>
      <c r="I52" s="94" t="s">
        <v>122</v>
      </c>
    </row>
    <row r="53" spans="1:9" ht="19" x14ac:dyDescent="0.25">
      <c r="A53" s="79" t="s">
        <v>86</v>
      </c>
      <c r="B53" s="21"/>
      <c r="C53" s="22"/>
      <c r="D53" s="22">
        <f>SUM(D50:D52)</f>
        <v>19304</v>
      </c>
      <c r="E53" s="22">
        <f t="shared" ref="E53:H53" si="23">SUM(E50:E52)</f>
        <v>19500</v>
      </c>
      <c r="F53" s="22">
        <f t="shared" si="23"/>
        <v>21747</v>
      </c>
      <c r="G53" s="22">
        <f t="shared" si="23"/>
        <v>20125</v>
      </c>
      <c r="H53" s="23">
        <f t="shared" si="23"/>
        <v>14487</v>
      </c>
      <c r="I53" s="94" t="s">
        <v>123</v>
      </c>
    </row>
    <row r="54" spans="1:9" ht="20" x14ac:dyDescent="0.25">
      <c r="A54" s="28" t="s">
        <v>110</v>
      </c>
      <c r="B54" s="21"/>
      <c r="C54" s="22"/>
      <c r="D54" s="22">
        <v>14922</v>
      </c>
      <c r="E54" s="86">
        <v>16009</v>
      </c>
      <c r="F54" s="86">
        <v>13549</v>
      </c>
      <c r="G54" s="86">
        <v>11536</v>
      </c>
      <c r="H54" s="87">
        <v>11338</v>
      </c>
      <c r="I54" s="94" t="s">
        <v>124</v>
      </c>
    </row>
    <row r="55" spans="1:9" ht="20" x14ac:dyDescent="0.25">
      <c r="A55" s="28" t="s">
        <v>111</v>
      </c>
      <c r="B55" s="21"/>
      <c r="C55" s="22"/>
      <c r="D55" s="22">
        <v>3279</v>
      </c>
      <c r="E55" s="86">
        <v>2638</v>
      </c>
      <c r="F55" s="86">
        <v>2493</v>
      </c>
      <c r="G55" s="86">
        <v>2218</v>
      </c>
      <c r="H55" s="87">
        <v>2275</v>
      </c>
      <c r="I55" s="94"/>
    </row>
    <row r="56" spans="1:9" ht="20" x14ac:dyDescent="0.25">
      <c r="A56" s="28" t="s">
        <v>112</v>
      </c>
      <c r="B56" s="21"/>
      <c r="C56" s="22"/>
      <c r="D56" s="22">
        <v>2480</v>
      </c>
      <c r="E56" s="86">
        <v>2196</v>
      </c>
      <c r="F56" s="86">
        <v>1566</v>
      </c>
      <c r="G56" s="86">
        <v>990</v>
      </c>
      <c r="H56" s="87">
        <v>1122</v>
      </c>
      <c r="I56" s="94"/>
    </row>
    <row r="57" spans="1:9" ht="20" x14ac:dyDescent="0.25">
      <c r="A57" s="28" t="s">
        <v>113</v>
      </c>
      <c r="B57" s="21"/>
      <c r="C57" s="22"/>
      <c r="D57" s="22">
        <v>1939</v>
      </c>
      <c r="E57" s="86">
        <v>1760</v>
      </c>
      <c r="F57" s="86">
        <v>1629</v>
      </c>
      <c r="G57" s="86">
        <v>1939</v>
      </c>
      <c r="H57" s="87">
        <v>1724</v>
      </c>
      <c r="I57" s="94"/>
    </row>
    <row r="58" spans="1:9" ht="20" x14ac:dyDescent="0.25">
      <c r="A58" s="24" t="s">
        <v>114</v>
      </c>
      <c r="B58" s="21"/>
      <c r="C58" s="22"/>
      <c r="D58" s="22">
        <f>SUM(D54:D57)</f>
        <v>22620</v>
      </c>
      <c r="E58" s="22">
        <f>SUM(E54:E57)</f>
        <v>22603</v>
      </c>
      <c r="F58" s="22">
        <f>SUM(F54:F57)</f>
        <v>19237</v>
      </c>
      <c r="G58" s="22">
        <f>SUM(G54:G57)</f>
        <v>16683</v>
      </c>
      <c r="H58" s="23">
        <f>SUM(H54:H57)</f>
        <v>16459</v>
      </c>
      <c r="I58" s="94"/>
    </row>
    <row r="59" spans="1:9" ht="20" x14ac:dyDescent="0.25">
      <c r="A59" s="24" t="s">
        <v>454</v>
      </c>
      <c r="B59" s="21"/>
      <c r="C59" s="22"/>
      <c r="D59" s="22">
        <f>SUM(D53+D58)</f>
        <v>41924</v>
      </c>
      <c r="E59" s="22">
        <f t="shared" ref="E59:H59" si="24">SUM(E53+E58)</f>
        <v>42103</v>
      </c>
      <c r="F59" s="22">
        <f t="shared" si="24"/>
        <v>40984</v>
      </c>
      <c r="G59" s="22">
        <f t="shared" si="24"/>
        <v>36808</v>
      </c>
      <c r="H59" s="22">
        <f t="shared" si="24"/>
        <v>30946</v>
      </c>
      <c r="I59" s="94"/>
    </row>
    <row r="60" spans="1:9" ht="20" x14ac:dyDescent="0.25">
      <c r="A60" s="19" t="s">
        <v>115</v>
      </c>
      <c r="B60" s="21"/>
      <c r="C60" s="22"/>
      <c r="D60" s="22"/>
      <c r="E60" s="86"/>
      <c r="F60" s="86"/>
      <c r="G60" s="86"/>
      <c r="H60" s="87"/>
      <c r="I60" s="94"/>
    </row>
    <row r="61" spans="1:9" ht="20" x14ac:dyDescent="0.25">
      <c r="A61" s="28" t="s">
        <v>92</v>
      </c>
      <c r="B61" s="21"/>
      <c r="C61" s="22"/>
      <c r="D61" s="22">
        <v>38</v>
      </c>
      <c r="E61" s="86">
        <v>38</v>
      </c>
      <c r="F61" s="86">
        <v>39</v>
      </c>
      <c r="G61" s="86">
        <v>42</v>
      </c>
      <c r="H61" s="87">
        <v>42</v>
      </c>
      <c r="I61" s="94"/>
    </row>
    <row r="62" spans="1:9" ht="20" x14ac:dyDescent="0.25">
      <c r="A62" s="28" t="s">
        <v>116</v>
      </c>
      <c r="B62" s="21"/>
      <c r="C62" s="22"/>
      <c r="D62" s="22">
        <v>6761</v>
      </c>
      <c r="E62" s="86">
        <v>6608</v>
      </c>
      <c r="F62" s="86">
        <v>6421</v>
      </c>
      <c r="G62" s="86">
        <v>6329</v>
      </c>
      <c r="H62" s="87">
        <v>6226</v>
      </c>
      <c r="I62" s="94">
        <f>SUM(D62+D64)</f>
        <v>6301</v>
      </c>
    </row>
    <row r="63" spans="1:9" ht="20" x14ac:dyDescent="0.25">
      <c r="A63" s="28" t="s">
        <v>94</v>
      </c>
      <c r="B63" s="21"/>
      <c r="C63" s="22"/>
      <c r="D63" s="22">
        <v>7093</v>
      </c>
      <c r="E63" s="86">
        <v>5005</v>
      </c>
      <c r="F63" s="86">
        <v>6920</v>
      </c>
      <c r="G63" s="86">
        <v>8825</v>
      </c>
      <c r="H63" s="87">
        <v>6433</v>
      </c>
      <c r="I63" s="94"/>
    </row>
    <row r="64" spans="1:9" ht="20" x14ac:dyDescent="0.25">
      <c r="A64" s="28" t="s">
        <v>117</v>
      </c>
      <c r="B64" s="21"/>
      <c r="C64" s="22"/>
      <c r="D64" s="22">
        <v>-460</v>
      </c>
      <c r="E64" s="86">
        <v>-419</v>
      </c>
      <c r="F64" s="86">
        <v>-553</v>
      </c>
      <c r="G64" s="86">
        <v>-756</v>
      </c>
      <c r="H64" s="87">
        <v>-868</v>
      </c>
      <c r="I64" s="94"/>
    </row>
    <row r="65" spans="1:9" ht="20" x14ac:dyDescent="0.25">
      <c r="A65" s="24" t="s">
        <v>119</v>
      </c>
      <c r="B65" s="21"/>
      <c r="C65" s="22"/>
      <c r="D65" s="22">
        <f>SUM(D61:D64)</f>
        <v>13432</v>
      </c>
      <c r="E65" s="22">
        <f t="shared" ref="E65:H65" si="25">SUM(E61:E64)</f>
        <v>11232</v>
      </c>
      <c r="F65" s="22">
        <f t="shared" si="25"/>
        <v>12827</v>
      </c>
      <c r="G65" s="22">
        <f t="shared" si="25"/>
        <v>14440</v>
      </c>
      <c r="H65" s="23">
        <f t="shared" si="25"/>
        <v>11833</v>
      </c>
      <c r="I65" s="94"/>
    </row>
    <row r="66" spans="1:9" ht="21" thickBot="1" x14ac:dyDescent="0.3">
      <c r="A66" s="43" t="s">
        <v>118</v>
      </c>
      <c r="B66" s="39"/>
      <c r="C66" s="44"/>
      <c r="D66" s="44">
        <f>SUM(D58,D53,D65)</f>
        <v>55356</v>
      </c>
      <c r="E66" s="44">
        <f>SUM(E58,E53,E65)</f>
        <v>53335</v>
      </c>
      <c r="F66" s="44">
        <f>SUM(F58,F53,F65)</f>
        <v>53811</v>
      </c>
      <c r="G66" s="44">
        <f>SUM(G58,G53,G65)</f>
        <v>51248</v>
      </c>
      <c r="H66" s="45">
        <f>SUM(H58,H53,H65)</f>
        <v>42779</v>
      </c>
      <c r="I66" s="94"/>
    </row>
    <row r="67" spans="1:9" ht="19" x14ac:dyDescent="0.25">
      <c r="A67" s="47"/>
      <c r="B67" s="21"/>
      <c r="C67" s="22"/>
      <c r="D67" s="22"/>
      <c r="E67" s="22"/>
      <c r="F67" s="22"/>
      <c r="G67" s="22"/>
      <c r="H67" s="22"/>
      <c r="I67" s="94"/>
    </row>
    <row r="68" spans="1:9" ht="17" thickBot="1" x14ac:dyDescent="0.25">
      <c r="A68" s="14"/>
      <c r="C68" s="6"/>
      <c r="D68" s="6"/>
      <c r="E68" s="6"/>
      <c r="F68" s="6"/>
      <c r="G68" s="6"/>
      <c r="H68" s="6"/>
      <c r="I68" s="94"/>
    </row>
    <row r="69" spans="1:9" ht="31" thickBot="1" x14ac:dyDescent="0.4">
      <c r="A69" s="46" t="s">
        <v>140</v>
      </c>
      <c r="B69" s="644" t="s">
        <v>185</v>
      </c>
      <c r="C69" s="645"/>
      <c r="D69" s="645"/>
      <c r="E69" s="645"/>
      <c r="F69" s="645"/>
      <c r="G69" s="645"/>
      <c r="H69" s="646"/>
    </row>
    <row r="70" spans="1:9" ht="40" x14ac:dyDescent="0.25">
      <c r="A70" s="56" t="s">
        <v>148</v>
      </c>
      <c r="B70" s="57"/>
      <c r="C70" s="57"/>
      <c r="D70" s="89">
        <f>D13*(1-0.219)</f>
        <v>4457.1670000000004</v>
      </c>
      <c r="E70" s="89">
        <f>E13*(1-0.187)</f>
        <v>3128.424</v>
      </c>
      <c r="F70" s="89">
        <f>F13*(1-0.22)</f>
        <v>6977.88</v>
      </c>
      <c r="G70" s="89">
        <f>G13*(1-0.212)</f>
        <v>5152.732</v>
      </c>
      <c r="H70" s="90">
        <f>H13*(1-0.22)</f>
        <v>3633.2400000000002</v>
      </c>
    </row>
    <row r="71" spans="1:9" ht="60" x14ac:dyDescent="0.25">
      <c r="A71" s="28" t="s">
        <v>149</v>
      </c>
      <c r="B71" s="21"/>
      <c r="C71" s="21"/>
      <c r="D71" s="70">
        <f>D43-D53</f>
        <v>-1806</v>
      </c>
      <c r="E71" s="70">
        <f>E43-E53</f>
        <v>-1654</v>
      </c>
      <c r="F71" s="70">
        <f>F43-F53</f>
        <v>-174</v>
      </c>
      <c r="G71" s="70">
        <f>G43-G53</f>
        <v>631</v>
      </c>
      <c r="H71" s="71">
        <f>H43-H53</f>
        <v>-1585</v>
      </c>
    </row>
    <row r="72" spans="1:9" ht="40" x14ac:dyDescent="0.25">
      <c r="A72" s="28" t="s">
        <v>150</v>
      </c>
      <c r="B72" s="21"/>
      <c r="C72" s="21"/>
      <c r="D72" s="70">
        <f>D71+D44</f>
        <v>31290</v>
      </c>
      <c r="E72" s="70">
        <f>E71+E44</f>
        <v>29858</v>
      </c>
      <c r="F72" s="70">
        <f>F71+F44</f>
        <v>28007</v>
      </c>
      <c r="G72" s="70">
        <f>G71+G44</f>
        <v>27510</v>
      </c>
      <c r="H72" s="71">
        <f>H71+H44</f>
        <v>24698</v>
      </c>
    </row>
    <row r="73" spans="1:9" ht="20" x14ac:dyDescent="0.25">
      <c r="A73" s="32" t="s">
        <v>120</v>
      </c>
      <c r="B73" s="21"/>
      <c r="C73" s="21"/>
      <c r="D73" s="70">
        <f>D72-E72</f>
        <v>1432</v>
      </c>
      <c r="E73" s="70">
        <f>E72-F72</f>
        <v>1851</v>
      </c>
      <c r="F73" s="70">
        <f>F72-G72</f>
        <v>497</v>
      </c>
      <c r="G73" s="70">
        <f>G72-H72</f>
        <v>2812</v>
      </c>
      <c r="H73" s="66"/>
    </row>
    <row r="74" spans="1:9" ht="40" x14ac:dyDescent="0.25">
      <c r="A74" s="28" t="s">
        <v>151</v>
      </c>
      <c r="B74" s="21"/>
      <c r="C74" s="21"/>
      <c r="D74" s="70">
        <f>D70-D73</f>
        <v>3025.1670000000004</v>
      </c>
      <c r="E74" s="70">
        <f t="shared" ref="E74:H74" si="26">E70-E73</f>
        <v>1277.424</v>
      </c>
      <c r="F74" s="70">
        <f t="shared" si="26"/>
        <v>6480.88</v>
      </c>
      <c r="G74" s="70">
        <f t="shared" si="26"/>
        <v>2340.732</v>
      </c>
      <c r="H74" s="71">
        <f t="shared" si="26"/>
        <v>3633.2400000000002</v>
      </c>
    </row>
    <row r="75" spans="1:9" ht="40" x14ac:dyDescent="0.25">
      <c r="A75" s="28" t="s">
        <v>152</v>
      </c>
      <c r="B75" s="21"/>
      <c r="C75" s="21"/>
      <c r="D75" s="60">
        <f>D70/D72</f>
        <v>0.14244701182486419</v>
      </c>
      <c r="E75" s="60">
        <f t="shared" ref="E75:H75" si="27">E70/E72</f>
        <v>0.10477674325138991</v>
      </c>
      <c r="F75" s="60">
        <f t="shared" si="27"/>
        <v>0.24914771307173206</v>
      </c>
      <c r="G75" s="60">
        <f t="shared" si="27"/>
        <v>0.18730396219556525</v>
      </c>
      <c r="H75" s="61">
        <f t="shared" si="27"/>
        <v>0.14710664831160419</v>
      </c>
    </row>
    <row r="76" spans="1:9" ht="40" x14ac:dyDescent="0.25">
      <c r="A76" s="28" t="s">
        <v>153</v>
      </c>
      <c r="B76" s="21"/>
      <c r="C76" s="21"/>
      <c r="D76" s="62">
        <f>D70/D5</f>
        <v>4.212703798569039E-2</v>
      </c>
      <c r="E76" s="62">
        <f>E70/E5</f>
        <v>2.9077815369743836E-2</v>
      </c>
      <c r="F76" s="62">
        <f>F70/F5</f>
        <v>6.6703119174847766E-2</v>
      </c>
      <c r="G76" s="62">
        <f>G70/G5</f>
        <v>5.5765497835497835E-2</v>
      </c>
      <c r="H76" s="63">
        <f>H70/H5</f>
        <v>4.7105406456631665E-2</v>
      </c>
    </row>
    <row r="77" spans="1:9" ht="41" thickBot="1" x14ac:dyDescent="0.3">
      <c r="A77" s="38" t="s">
        <v>154</v>
      </c>
      <c r="B77" s="39"/>
      <c r="C77" s="39"/>
      <c r="D77" s="64">
        <f>D72/D5</f>
        <v>0.2957383060971806</v>
      </c>
      <c r="E77" s="64">
        <f>E72/E5</f>
        <v>0.27752165669033724</v>
      </c>
      <c r="F77" s="64">
        <f>F72/F5</f>
        <v>0.26772519142346407</v>
      </c>
      <c r="G77" s="64">
        <f>G72/G5</f>
        <v>0.29772727272727273</v>
      </c>
      <c r="H77" s="65">
        <f>H72/H5</f>
        <v>0.32021262803059769</v>
      </c>
    </row>
    <row r="78" spans="1:9" x14ac:dyDescent="0.2">
      <c r="A78" s="1"/>
      <c r="D78" s="9"/>
      <c r="E78" s="9"/>
      <c r="F78" s="9"/>
      <c r="G78" s="9"/>
      <c r="H78" s="9"/>
    </row>
    <row r="79" spans="1:9" ht="17" thickBot="1" x14ac:dyDescent="0.25">
      <c r="A79" s="1"/>
      <c r="D79" s="9"/>
      <c r="E79" s="9"/>
      <c r="F79" s="9"/>
      <c r="G79" s="9"/>
      <c r="H79" s="9"/>
    </row>
    <row r="80" spans="1:9" ht="31" thickBot="1" x14ac:dyDescent="0.4">
      <c r="A80" s="46" t="s">
        <v>141</v>
      </c>
      <c r="B80" s="644" t="s">
        <v>295</v>
      </c>
      <c r="C80" s="645"/>
      <c r="D80" s="645"/>
      <c r="E80" s="645"/>
      <c r="F80" s="645"/>
      <c r="G80" s="645"/>
      <c r="H80" s="646"/>
    </row>
    <row r="81" spans="1:9" ht="23" x14ac:dyDescent="0.3">
      <c r="A81" s="50" t="s">
        <v>131</v>
      </c>
      <c r="B81" s="75"/>
      <c r="C81" s="75" t="s">
        <v>130</v>
      </c>
      <c r="D81" s="75">
        <v>2024</v>
      </c>
      <c r="E81" s="75">
        <v>2025</v>
      </c>
      <c r="F81" s="75">
        <v>2026</v>
      </c>
      <c r="G81" s="75">
        <v>2027</v>
      </c>
      <c r="H81" s="76">
        <v>2028</v>
      </c>
    </row>
    <row r="82" spans="1:9" ht="20" x14ac:dyDescent="0.25">
      <c r="A82" s="19" t="s">
        <v>159</v>
      </c>
      <c r="B82" s="21"/>
      <c r="H82" s="11"/>
    </row>
    <row r="83" spans="1:9" ht="20" x14ac:dyDescent="0.25">
      <c r="A83" s="32" t="s">
        <v>129</v>
      </c>
      <c r="B83" s="21"/>
      <c r="C83" s="74">
        <v>0.05</v>
      </c>
      <c r="D83" s="74">
        <v>0.05</v>
      </c>
      <c r="E83" s="74">
        <v>0.05</v>
      </c>
      <c r="F83" s="74">
        <v>0.05</v>
      </c>
      <c r="G83" s="74">
        <v>0.05</v>
      </c>
      <c r="H83" s="68">
        <v>0.05</v>
      </c>
    </row>
    <row r="84" spans="1:9" ht="40" x14ac:dyDescent="0.25">
      <c r="A84" s="28" t="s">
        <v>156</v>
      </c>
      <c r="B84" s="21"/>
      <c r="C84" s="62">
        <v>4.2000000000000003E-2</v>
      </c>
      <c r="D84" s="62">
        <v>4.2000000000000003E-2</v>
      </c>
      <c r="E84" s="62">
        <v>4.2000000000000003E-2</v>
      </c>
      <c r="F84" s="62">
        <v>4.2000000000000003E-2</v>
      </c>
      <c r="G84" s="62">
        <v>4.2000000000000003E-2</v>
      </c>
      <c r="H84" s="63">
        <v>4.2000000000000003E-2</v>
      </c>
    </row>
    <row r="85" spans="1:9" ht="40" x14ac:dyDescent="0.25">
      <c r="A85" s="28" t="s">
        <v>155</v>
      </c>
      <c r="B85" s="21"/>
      <c r="C85" s="60">
        <v>0.3</v>
      </c>
      <c r="D85" s="60">
        <v>0.3</v>
      </c>
      <c r="E85" s="60">
        <v>0.3</v>
      </c>
      <c r="F85" s="60">
        <v>0.3</v>
      </c>
      <c r="G85" s="60">
        <v>0.3</v>
      </c>
      <c r="H85" s="61">
        <v>0.3</v>
      </c>
    </row>
    <row r="86" spans="1:9" ht="19" x14ac:dyDescent="0.25">
      <c r="A86" s="69"/>
      <c r="B86" s="21"/>
      <c r="C86" s="21"/>
      <c r="D86" s="21"/>
      <c r="E86" s="21"/>
      <c r="F86" s="21"/>
      <c r="G86" s="21"/>
      <c r="H86" s="66"/>
    </row>
    <row r="87" spans="1:9" ht="20" x14ac:dyDescent="0.25">
      <c r="A87" s="19" t="s">
        <v>160</v>
      </c>
      <c r="B87" s="21"/>
      <c r="C87" s="21"/>
      <c r="D87" s="21"/>
      <c r="E87" s="21"/>
      <c r="F87" s="21"/>
      <c r="G87" s="21"/>
      <c r="H87" s="66"/>
    </row>
    <row r="88" spans="1:9" ht="19" x14ac:dyDescent="0.25">
      <c r="A88" s="15" t="s">
        <v>127</v>
      </c>
      <c r="B88" s="21"/>
      <c r="C88" s="70">
        <f>D5</f>
        <v>105803</v>
      </c>
      <c r="D88" s="70">
        <f>(1+D83)*C88</f>
        <v>111093.15000000001</v>
      </c>
      <c r="E88" s="70">
        <f>(1+E83)*D88</f>
        <v>116647.80750000001</v>
      </c>
      <c r="F88" s="70">
        <f t="shared" ref="F88:H88" si="28">(1+F83)*E88</f>
        <v>122480.19787500001</v>
      </c>
      <c r="G88" s="70">
        <f t="shared" si="28"/>
        <v>128604.20776875001</v>
      </c>
      <c r="H88" s="71">
        <f t="shared" si="28"/>
        <v>135034.41815718752</v>
      </c>
      <c r="I88" s="91" t="s">
        <v>132</v>
      </c>
    </row>
    <row r="89" spans="1:9" ht="40" x14ac:dyDescent="0.25">
      <c r="A89" s="28" t="s">
        <v>148</v>
      </c>
      <c r="B89" s="21"/>
      <c r="C89" s="70">
        <f>D70</f>
        <v>4457.1670000000004</v>
      </c>
      <c r="D89" s="70">
        <f>D88*D84</f>
        <v>4665.9123000000009</v>
      </c>
      <c r="E89" s="70">
        <f t="shared" ref="E89:H89" si="29">E88*E84</f>
        <v>4899.2079150000009</v>
      </c>
      <c r="F89" s="70">
        <f t="shared" si="29"/>
        <v>5144.1683107500012</v>
      </c>
      <c r="G89" s="70">
        <f t="shared" si="29"/>
        <v>5401.3767262875008</v>
      </c>
      <c r="H89" s="71">
        <f t="shared" si="29"/>
        <v>5671.4455626018762</v>
      </c>
      <c r="I89" s="91" t="s">
        <v>133</v>
      </c>
    </row>
    <row r="90" spans="1:9" ht="60" x14ac:dyDescent="0.25">
      <c r="A90" s="28" t="s">
        <v>300</v>
      </c>
      <c r="B90" s="21"/>
      <c r="C90" s="70">
        <f>D71</f>
        <v>-1806</v>
      </c>
      <c r="D90" s="70">
        <f t="shared" ref="D90:H90" si="30">E71</f>
        <v>-1654</v>
      </c>
      <c r="E90" s="70">
        <f t="shared" si="30"/>
        <v>-174</v>
      </c>
      <c r="F90" s="70">
        <f t="shared" si="30"/>
        <v>631</v>
      </c>
      <c r="G90" s="70">
        <f t="shared" si="30"/>
        <v>-1585</v>
      </c>
      <c r="H90" s="71">
        <f t="shared" si="30"/>
        <v>0</v>
      </c>
    </row>
    <row r="91" spans="1:9" ht="40" x14ac:dyDescent="0.25">
      <c r="A91" s="28" t="s">
        <v>301</v>
      </c>
      <c r="B91" s="21"/>
      <c r="C91" s="70">
        <f>D72</f>
        <v>31290</v>
      </c>
      <c r="D91" s="70">
        <f>D88*D85</f>
        <v>33327.945</v>
      </c>
      <c r="E91" s="70">
        <f>E88*E85</f>
        <v>34994.342250000002</v>
      </c>
      <c r="F91" s="70">
        <f t="shared" ref="F91:H91" si="31">F88*F85</f>
        <v>36744.059362500004</v>
      </c>
      <c r="G91" s="70">
        <f t="shared" si="31"/>
        <v>38581.262330625003</v>
      </c>
      <c r="H91" s="70">
        <f t="shared" si="31"/>
        <v>40510.325447156254</v>
      </c>
      <c r="I91" s="211" t="s">
        <v>135</v>
      </c>
    </row>
    <row r="92" spans="1:9" ht="20" x14ac:dyDescent="0.25">
      <c r="A92" s="32" t="s">
        <v>120</v>
      </c>
      <c r="B92" s="21"/>
      <c r="C92" s="70">
        <f>D73</f>
        <v>1432</v>
      </c>
      <c r="D92" s="70">
        <f>D91-C91</f>
        <v>2037.9449999999997</v>
      </c>
      <c r="E92" s="70">
        <f>E91-D91</f>
        <v>1666.3972500000018</v>
      </c>
      <c r="F92" s="70">
        <f>F91-E91</f>
        <v>1749.7171125000023</v>
      </c>
      <c r="G92" s="70">
        <f>G91-F91</f>
        <v>1837.2029681249987</v>
      </c>
      <c r="H92" s="71">
        <f>H91-G91</f>
        <v>1929.0631165312516</v>
      </c>
    </row>
    <row r="93" spans="1:9" ht="40" x14ac:dyDescent="0.25">
      <c r="A93" s="28" t="s">
        <v>158</v>
      </c>
      <c r="B93" s="21"/>
      <c r="C93" s="70">
        <f>D74</f>
        <v>3025.1670000000004</v>
      </c>
      <c r="D93" s="70">
        <f>D89-D92</f>
        <v>2627.9673000000012</v>
      </c>
      <c r="E93" s="70">
        <f t="shared" ref="E93:H93" si="32">E89-E92</f>
        <v>3232.8106649999991</v>
      </c>
      <c r="F93" s="70">
        <f t="shared" si="32"/>
        <v>3394.4511982499989</v>
      </c>
      <c r="G93" s="70">
        <f t="shared" si="32"/>
        <v>3564.1737581625021</v>
      </c>
      <c r="H93" s="71">
        <f t="shared" si="32"/>
        <v>3742.3824460706246</v>
      </c>
      <c r="I93" s="91" t="s">
        <v>134</v>
      </c>
    </row>
    <row r="94" spans="1:9" ht="20" x14ac:dyDescent="0.25">
      <c r="A94" s="32" t="s">
        <v>128</v>
      </c>
      <c r="B94" s="21"/>
      <c r="C94" s="21"/>
      <c r="D94" s="21"/>
      <c r="E94" s="21"/>
      <c r="F94" s="21"/>
      <c r="G94" s="21"/>
      <c r="H94" s="66"/>
    </row>
    <row r="95" spans="1:9" ht="41" thickBot="1" x14ac:dyDescent="0.3">
      <c r="A95" s="38" t="s">
        <v>152</v>
      </c>
      <c r="B95" s="39"/>
      <c r="C95" s="72">
        <f>D75</f>
        <v>0.14244701182486419</v>
      </c>
      <c r="D95" s="64">
        <f>D89/D91</f>
        <v>0.14000000000000004</v>
      </c>
      <c r="E95" s="64">
        <f t="shared" ref="E95:H95" si="33">E89/E91</f>
        <v>0.14000000000000001</v>
      </c>
      <c r="F95" s="64">
        <f t="shared" si="33"/>
        <v>0.14000000000000001</v>
      </c>
      <c r="G95" s="64">
        <f t="shared" si="33"/>
        <v>0.14000000000000001</v>
      </c>
      <c r="H95" s="65">
        <f t="shared" si="33"/>
        <v>0.14000000000000001</v>
      </c>
    </row>
    <row r="96" spans="1:9" x14ac:dyDescent="0.2">
      <c r="A96" s="8"/>
    </row>
    <row r="97" spans="1:9" ht="17" thickBot="1" x14ac:dyDescent="0.25">
      <c r="A97" s="8"/>
    </row>
    <row r="98" spans="1:9" ht="31" thickBot="1" x14ac:dyDescent="0.4">
      <c r="A98" s="46" t="s">
        <v>161</v>
      </c>
      <c r="B98" s="595" t="s">
        <v>187</v>
      </c>
      <c r="C98" s="593"/>
      <c r="D98" s="593"/>
      <c r="E98" s="593"/>
      <c r="F98" s="593"/>
      <c r="G98" s="593"/>
      <c r="H98" s="594"/>
      <c r="I98" s="211"/>
    </row>
    <row r="99" spans="1:9" ht="20" x14ac:dyDescent="0.25">
      <c r="A99" s="99" t="s">
        <v>162</v>
      </c>
      <c r="B99" s="100"/>
      <c r="C99" s="57"/>
      <c r="D99" s="101" t="s">
        <v>163</v>
      </c>
      <c r="E99" s="102" t="s">
        <v>164</v>
      </c>
      <c r="F99" s="58"/>
      <c r="G99" s="58"/>
      <c r="H99" s="59"/>
    </row>
    <row r="100" spans="1:9" ht="35" x14ac:dyDescent="0.25">
      <c r="A100" s="146" t="s">
        <v>189</v>
      </c>
      <c r="B100" s="145">
        <v>0.05</v>
      </c>
      <c r="C100" s="21"/>
      <c r="D100" s="103"/>
      <c r="E100" s="104"/>
      <c r="F100" s="22"/>
      <c r="G100" s="22"/>
      <c r="H100" s="23"/>
      <c r="I100" s="126" t="s">
        <v>188</v>
      </c>
    </row>
    <row r="101" spans="1:9" ht="20" x14ac:dyDescent="0.25">
      <c r="A101" s="105" t="s">
        <v>228</v>
      </c>
      <c r="B101" s="208">
        <f>((B124/B126)*B130)+((B125/B126)*B127*(1-B122))</f>
        <v>7.5914607540905843E-2</v>
      </c>
      <c r="C101" s="597" t="s">
        <v>165</v>
      </c>
      <c r="D101" s="598"/>
      <c r="E101" s="598"/>
      <c r="F101" s="598"/>
      <c r="G101" s="599"/>
      <c r="H101" s="23"/>
      <c r="I101" s="126" t="s">
        <v>200</v>
      </c>
    </row>
    <row r="102" spans="1:9" ht="20" x14ac:dyDescent="0.25">
      <c r="A102" s="107" t="s">
        <v>170</v>
      </c>
      <c r="B102" s="108">
        <v>2023</v>
      </c>
      <c r="C102" s="108">
        <v>2024</v>
      </c>
      <c r="D102" s="108">
        <v>2025</v>
      </c>
      <c r="E102" s="108">
        <v>2026</v>
      </c>
      <c r="F102" s="108">
        <v>2027</v>
      </c>
      <c r="G102" s="108">
        <v>2028</v>
      </c>
      <c r="H102" s="23"/>
    </row>
    <row r="103" spans="1:9" ht="20" x14ac:dyDescent="0.25">
      <c r="A103" s="107" t="s">
        <v>166</v>
      </c>
      <c r="B103" s="109"/>
      <c r="C103" s="110">
        <f>D93</f>
        <v>2627.9673000000012</v>
      </c>
      <c r="D103" s="110">
        <f t="shared" ref="D103:G103" si="34">E93</f>
        <v>3232.8106649999991</v>
      </c>
      <c r="E103" s="110">
        <f t="shared" si="34"/>
        <v>3394.4511982499989</v>
      </c>
      <c r="F103" s="110">
        <f t="shared" si="34"/>
        <v>3564.1737581625021</v>
      </c>
      <c r="G103" s="110">
        <f t="shared" si="34"/>
        <v>3742.3824460706246</v>
      </c>
      <c r="H103" s="23"/>
    </row>
    <row r="104" spans="1:9" ht="19" x14ac:dyDescent="0.25">
      <c r="A104" s="28"/>
      <c r="B104" s="21"/>
      <c r="C104" s="21"/>
      <c r="D104" s="21"/>
      <c r="E104" s="22"/>
      <c r="F104" s="22"/>
      <c r="G104" s="22"/>
      <c r="H104" s="23"/>
    </row>
    <row r="105" spans="1:9" ht="20" thickBot="1" x14ac:dyDescent="0.3">
      <c r="A105" s="28"/>
      <c r="B105" s="21"/>
      <c r="C105" s="111" t="s">
        <v>175</v>
      </c>
      <c r="D105" s="112" t="s">
        <v>177</v>
      </c>
      <c r="E105" s="112" t="s">
        <v>178</v>
      </c>
      <c r="F105" s="112" t="s">
        <v>179</v>
      </c>
      <c r="G105" s="113" t="s">
        <v>180</v>
      </c>
      <c r="H105" s="23"/>
    </row>
    <row r="106" spans="1:9" ht="19" x14ac:dyDescent="0.25">
      <c r="A106" s="28"/>
      <c r="B106" s="21"/>
      <c r="C106" s="114" t="s">
        <v>176</v>
      </c>
      <c r="D106" s="115" t="s">
        <v>181</v>
      </c>
      <c r="E106" s="115" t="s">
        <v>182</v>
      </c>
      <c r="F106" s="115" t="s">
        <v>183</v>
      </c>
      <c r="G106" s="106" t="s">
        <v>171</v>
      </c>
      <c r="H106" s="116" t="s">
        <v>167</v>
      </c>
    </row>
    <row r="107" spans="1:9" ht="19" x14ac:dyDescent="0.25">
      <c r="A107" s="28"/>
      <c r="B107" s="21"/>
      <c r="C107" s="172">
        <f>C103/(1+B101)^1</f>
        <v>2442.5426345000033</v>
      </c>
      <c r="D107" s="172">
        <f>D103/(1+B101)^2</f>
        <v>2792.7024263778094</v>
      </c>
      <c r="E107" s="172">
        <f>E103/(1+B101)^3</f>
        <v>2725.4370627040803</v>
      </c>
      <c r="F107" s="172">
        <f>F103/(1+B101)^4</f>
        <v>2659.7918606012477</v>
      </c>
      <c r="G107" s="172">
        <f>G103/(1+B101)^5</f>
        <v>2595.727796664502</v>
      </c>
      <c r="H107" s="23"/>
    </row>
    <row r="108" spans="1:9" ht="21" thickBot="1" x14ac:dyDescent="0.3">
      <c r="A108" s="28"/>
      <c r="B108" s="21"/>
      <c r="C108" s="21"/>
      <c r="D108" s="21"/>
      <c r="E108" s="22"/>
      <c r="F108" s="22"/>
      <c r="G108" s="22"/>
      <c r="H108" s="117" t="s">
        <v>168</v>
      </c>
    </row>
    <row r="109" spans="1:9" ht="19" x14ac:dyDescent="0.25">
      <c r="A109" s="28"/>
      <c r="B109" s="21"/>
      <c r="C109" s="21"/>
      <c r="D109" s="21"/>
      <c r="E109" s="22"/>
      <c r="F109" s="22"/>
      <c r="G109" s="22"/>
      <c r="H109" s="118" t="s">
        <v>169</v>
      </c>
    </row>
    <row r="110" spans="1:9" ht="19" x14ac:dyDescent="0.25">
      <c r="A110" s="588" t="s">
        <v>172</v>
      </c>
      <c r="B110" s="167">
        <f>C107</f>
        <v>2442.5426345000033</v>
      </c>
      <c r="C110" s="21"/>
      <c r="D110" s="21"/>
      <c r="E110" s="22"/>
      <c r="F110" s="22"/>
      <c r="G110" s="22"/>
      <c r="H110" s="23"/>
    </row>
    <row r="111" spans="1:9" ht="20" thickBot="1" x14ac:dyDescent="0.3">
      <c r="A111" s="589"/>
      <c r="B111" s="168">
        <f>D107</f>
        <v>2792.7024263778094</v>
      </c>
      <c r="C111" s="21"/>
      <c r="D111" s="21"/>
      <c r="E111" s="22"/>
      <c r="F111" s="22"/>
      <c r="G111" s="22"/>
      <c r="H111" s="119">
        <f>G103*(1+B100)</f>
        <v>3929.5015683741558</v>
      </c>
    </row>
    <row r="112" spans="1:9" ht="19" x14ac:dyDescent="0.25">
      <c r="A112" s="589"/>
      <c r="B112" s="168">
        <f>E107</f>
        <v>2725.4370627040803</v>
      </c>
      <c r="C112" s="21"/>
      <c r="D112" s="21"/>
      <c r="E112" s="22"/>
      <c r="F112" s="22"/>
      <c r="G112" s="22"/>
      <c r="H112" s="120">
        <f>B101-B100</f>
        <v>2.591460754090584E-2</v>
      </c>
    </row>
    <row r="113" spans="1:10" ht="19" x14ac:dyDescent="0.25">
      <c r="A113" s="589"/>
      <c r="B113" s="168">
        <f>F107</f>
        <v>2659.7918606012477</v>
      </c>
      <c r="C113" s="21"/>
      <c r="D113" s="22"/>
      <c r="E113" s="22"/>
      <c r="F113" s="22"/>
      <c r="G113" s="22"/>
      <c r="H113" s="23"/>
    </row>
    <row r="114" spans="1:10" ht="19" x14ac:dyDescent="0.25">
      <c r="A114" s="590"/>
      <c r="B114" s="169">
        <f>G107</f>
        <v>2595.727796664502</v>
      </c>
      <c r="C114" s="21"/>
      <c r="D114" s="22"/>
      <c r="E114" s="22"/>
      <c r="F114" s="22"/>
      <c r="G114" s="22"/>
      <c r="H114" s="121">
        <f>H111/0.0259</f>
        <v>151718.20727313342</v>
      </c>
    </row>
    <row r="115" spans="1:10" ht="21" thickBot="1" x14ac:dyDescent="0.3">
      <c r="A115" s="122" t="s">
        <v>173</v>
      </c>
      <c r="B115" s="170">
        <f>G115/(1+B101)^5</f>
        <v>105232.20797288521</v>
      </c>
      <c r="C115" s="21"/>
      <c r="D115" s="22"/>
      <c r="E115" s="22"/>
      <c r="F115" s="22"/>
      <c r="G115" s="123">
        <f>H114</f>
        <v>151718.20727313342</v>
      </c>
      <c r="H115" s="23"/>
    </row>
    <row r="116" spans="1:10" ht="19" x14ac:dyDescent="0.25">
      <c r="A116" s="28"/>
      <c r="B116" s="171"/>
      <c r="C116" s="21"/>
      <c r="D116" s="22"/>
      <c r="E116" s="22"/>
      <c r="F116" s="22"/>
      <c r="G116" s="124" t="s">
        <v>171</v>
      </c>
      <c r="H116" s="23"/>
    </row>
    <row r="117" spans="1:10" ht="21" thickBot="1" x14ac:dyDescent="0.3">
      <c r="A117" s="125" t="s">
        <v>174</v>
      </c>
      <c r="B117" s="166">
        <f>SUM(B110:B115)</f>
        <v>118448.40975373285</v>
      </c>
      <c r="C117" s="39"/>
      <c r="D117" s="44"/>
      <c r="E117" s="44"/>
      <c r="F117" s="44"/>
      <c r="G117" s="44"/>
      <c r="H117" s="45"/>
    </row>
    <row r="121" spans="1:10" ht="22" x14ac:dyDescent="0.3">
      <c r="A121" s="134" t="s">
        <v>190</v>
      </c>
      <c r="B121" s="127"/>
      <c r="C121" s="127"/>
    </row>
    <row r="122" spans="1:10" ht="19" x14ac:dyDescent="0.25">
      <c r="A122" s="128" t="s">
        <v>191</v>
      </c>
      <c r="B122" s="129">
        <f>D35</f>
        <v>0.219</v>
      </c>
      <c r="C122" s="142"/>
      <c r="I122" s="138" t="s">
        <v>224</v>
      </c>
      <c r="J122" s="137" t="s">
        <v>202</v>
      </c>
    </row>
    <row r="123" spans="1:10" ht="19" x14ac:dyDescent="0.25">
      <c r="A123" s="128" t="s">
        <v>192</v>
      </c>
      <c r="B123" s="130">
        <v>0.8</v>
      </c>
      <c r="C123" s="143"/>
      <c r="I123" s="138" t="s">
        <v>227</v>
      </c>
      <c r="J123" s="135" t="s">
        <v>203</v>
      </c>
    </row>
    <row r="124" spans="1:10" ht="19" x14ac:dyDescent="0.25">
      <c r="A124" s="128" t="s">
        <v>193</v>
      </c>
      <c r="B124" s="141">
        <v>68302</v>
      </c>
      <c r="C124" s="143"/>
      <c r="I124" s="137" t="s">
        <v>201</v>
      </c>
      <c r="J124" s="135" t="s">
        <v>204</v>
      </c>
    </row>
    <row r="125" spans="1:10" ht="19" x14ac:dyDescent="0.25">
      <c r="A125" s="128" t="s">
        <v>194</v>
      </c>
      <c r="B125" s="140">
        <f>D52+D54</f>
        <v>16038</v>
      </c>
      <c r="C125" s="143"/>
      <c r="I125" t="s">
        <v>205</v>
      </c>
      <c r="J125" s="137" t="s">
        <v>210</v>
      </c>
    </row>
    <row r="126" spans="1:10" ht="19" x14ac:dyDescent="0.25">
      <c r="A126" s="128" t="s">
        <v>195</v>
      </c>
      <c r="B126" s="140">
        <f>B124+B125</f>
        <v>84340</v>
      </c>
      <c r="C126" s="143"/>
      <c r="I126" s="139" t="s">
        <v>211</v>
      </c>
    </row>
    <row r="127" spans="1:10" ht="19" x14ac:dyDescent="0.25">
      <c r="A127" s="128" t="s">
        <v>196</v>
      </c>
      <c r="B127" s="130">
        <f>D15/B125</f>
        <v>3.1300660930290561E-2</v>
      </c>
      <c r="C127" s="143"/>
      <c r="I127" t="s">
        <v>219</v>
      </c>
    </row>
    <row r="128" spans="1:10" ht="19" x14ac:dyDescent="0.25">
      <c r="A128" s="131" t="s">
        <v>197</v>
      </c>
      <c r="B128" s="129">
        <v>0.06</v>
      </c>
      <c r="C128" s="142"/>
      <c r="I128" s="138" t="s">
        <v>226</v>
      </c>
      <c r="J128" t="s">
        <v>206</v>
      </c>
    </row>
    <row r="129" spans="1:10" ht="19" x14ac:dyDescent="0.25">
      <c r="A129" s="131" t="s">
        <v>198</v>
      </c>
      <c r="B129" s="132">
        <v>0.04</v>
      </c>
      <c r="C129" s="142"/>
      <c r="I129" s="138" t="s">
        <v>225</v>
      </c>
      <c r="J129" s="135" t="s">
        <v>207</v>
      </c>
    </row>
    <row r="130" spans="1:10" ht="19" x14ac:dyDescent="0.25">
      <c r="A130" s="128" t="s">
        <v>199</v>
      </c>
      <c r="B130" s="133">
        <f>B129+(B123*B128)</f>
        <v>8.7999999999999995E-2</v>
      </c>
      <c r="C130" s="144"/>
      <c r="I130" t="s">
        <v>213</v>
      </c>
      <c r="J130" s="135" t="s">
        <v>208</v>
      </c>
    </row>
    <row r="131" spans="1:10" x14ac:dyDescent="0.2">
      <c r="J131" t="s">
        <v>209</v>
      </c>
    </row>
    <row r="133" spans="1:10" x14ac:dyDescent="0.2">
      <c r="J133" t="s">
        <v>212</v>
      </c>
    </row>
    <row r="135" spans="1:10" x14ac:dyDescent="0.2">
      <c r="J135" t="s">
        <v>214</v>
      </c>
    </row>
    <row r="136" spans="1:10" x14ac:dyDescent="0.2">
      <c r="J136" s="135" t="s">
        <v>215</v>
      </c>
    </row>
    <row r="137" spans="1:10" x14ac:dyDescent="0.2">
      <c r="J137" s="135" t="s">
        <v>216</v>
      </c>
    </row>
    <row r="138" spans="1:10" x14ac:dyDescent="0.2">
      <c r="J138" s="135" t="s">
        <v>217</v>
      </c>
    </row>
    <row r="139" spans="1:10" x14ac:dyDescent="0.2">
      <c r="J139" t="s">
        <v>218</v>
      </c>
    </row>
    <row r="141" spans="1:10" x14ac:dyDescent="0.2">
      <c r="J141" t="s">
        <v>220</v>
      </c>
    </row>
    <row r="142" spans="1:10" x14ac:dyDescent="0.2">
      <c r="J142" s="135" t="s">
        <v>222</v>
      </c>
    </row>
    <row r="143" spans="1:10" x14ac:dyDescent="0.2">
      <c r="J143" s="135" t="s">
        <v>221</v>
      </c>
    </row>
    <row r="144" spans="1:10" x14ac:dyDescent="0.2">
      <c r="J144" t="s">
        <v>223</v>
      </c>
    </row>
    <row r="145" spans="1:10" ht="17" thickBot="1" x14ac:dyDescent="0.25"/>
    <row r="146" spans="1:10" ht="31" thickBot="1" x14ac:dyDescent="0.4">
      <c r="A146" s="46" t="s">
        <v>241</v>
      </c>
      <c r="B146" s="595" t="s">
        <v>242</v>
      </c>
      <c r="C146" s="593"/>
      <c r="D146" s="593"/>
      <c r="E146" s="593"/>
      <c r="F146" s="593"/>
      <c r="G146" s="593"/>
      <c r="H146" s="594"/>
    </row>
    <row r="147" spans="1:10" ht="20" x14ac:dyDescent="0.25">
      <c r="A147" s="99" t="s">
        <v>162</v>
      </c>
      <c r="B147" s="100"/>
      <c r="C147" s="57"/>
      <c r="D147" s="101" t="s">
        <v>163</v>
      </c>
      <c r="E147" s="102" t="s">
        <v>164</v>
      </c>
      <c r="F147" s="58"/>
      <c r="G147" s="58"/>
      <c r="H147" s="59"/>
    </row>
    <row r="148" spans="1:10" ht="20" x14ac:dyDescent="0.25">
      <c r="A148" s="146" t="s">
        <v>189</v>
      </c>
      <c r="B148" s="145">
        <v>0.05</v>
      </c>
      <c r="C148" s="21"/>
      <c r="D148" s="103"/>
      <c r="E148" s="104"/>
      <c r="F148" s="22"/>
      <c r="G148" s="22"/>
      <c r="H148" s="23"/>
    </row>
    <row r="149" spans="1:10" ht="20" x14ac:dyDescent="0.25">
      <c r="A149" s="105" t="s">
        <v>228</v>
      </c>
      <c r="B149" s="208">
        <f>B101</f>
        <v>7.5914607540905843E-2</v>
      </c>
      <c r="C149" s="173" t="s">
        <v>165</v>
      </c>
      <c r="D149" s="174"/>
      <c r="E149" s="174"/>
      <c r="F149" s="174"/>
      <c r="G149" s="175"/>
      <c r="H149" s="23"/>
    </row>
    <row r="150" spans="1:10" ht="20" x14ac:dyDescent="0.25">
      <c r="A150" s="107" t="s">
        <v>170</v>
      </c>
      <c r="B150" s="108">
        <v>2023</v>
      </c>
      <c r="C150" s="108">
        <v>2024</v>
      </c>
      <c r="D150" s="108">
        <v>2025</v>
      </c>
      <c r="E150" s="108">
        <v>2026</v>
      </c>
      <c r="F150" s="108">
        <v>2027</v>
      </c>
      <c r="G150" s="108">
        <v>2028</v>
      </c>
      <c r="H150" s="23"/>
    </row>
    <row r="151" spans="1:10" ht="20" x14ac:dyDescent="0.25">
      <c r="A151" s="107" t="s">
        <v>166</v>
      </c>
      <c r="B151" s="200">
        <v>3025</v>
      </c>
      <c r="C151" s="203">
        <f>C103</f>
        <v>2627.9673000000012</v>
      </c>
      <c r="D151" s="201">
        <f>D103</f>
        <v>3232.8106649999991</v>
      </c>
      <c r="E151" s="203">
        <f>E103</f>
        <v>3394.4511982499989</v>
      </c>
      <c r="F151" s="203">
        <f>F103</f>
        <v>3564.1737581625021</v>
      </c>
      <c r="G151" s="201">
        <f>G103</f>
        <v>3742.3824460706246</v>
      </c>
      <c r="H151" s="202"/>
    </row>
    <row r="152" spans="1:10" ht="17" thickBot="1" x14ac:dyDescent="0.25">
      <c r="D152" s="197"/>
      <c r="F152" s="196"/>
      <c r="H152" s="11"/>
    </row>
    <row r="153" spans="1:10" ht="19" x14ac:dyDescent="0.25">
      <c r="A153" s="253" t="s">
        <v>267</v>
      </c>
      <c r="B153" s="220"/>
      <c r="C153" s="221" t="s">
        <v>187</v>
      </c>
      <c r="D153" s="222"/>
      <c r="E153" s="223"/>
      <c r="F153" s="224">
        <f>B159</f>
        <v>118448.40975373285</v>
      </c>
      <c r="H153" s="11"/>
    </row>
    <row r="154" spans="1:10" ht="20" thickBot="1" x14ac:dyDescent="0.3">
      <c r="A154" s="316"/>
      <c r="B154" s="317"/>
      <c r="C154" s="226" t="s">
        <v>260</v>
      </c>
      <c r="D154" s="227"/>
      <c r="E154" s="259"/>
      <c r="F154" s="228" t="s">
        <v>274</v>
      </c>
      <c r="H154" s="11"/>
      <c r="I154" s="91" t="s">
        <v>268</v>
      </c>
      <c r="J154" s="194">
        <v>7.5899999999999995E-2</v>
      </c>
    </row>
    <row r="155" spans="1:10" ht="19" x14ac:dyDescent="0.25">
      <c r="A155" s="229" t="s">
        <v>269</v>
      </c>
      <c r="B155" s="252">
        <f>G151*(1+J155)/(J154-J155)</f>
        <v>151718.20727313348</v>
      </c>
      <c r="C155" s="320" t="s">
        <v>261</v>
      </c>
      <c r="D155" s="230"/>
      <c r="E155" s="231"/>
      <c r="F155" s="232">
        <f>F153</f>
        <v>118448.40975373285</v>
      </c>
      <c r="H155" s="11"/>
      <c r="I155" s="195" t="s">
        <v>270</v>
      </c>
      <c r="J155">
        <v>0.05</v>
      </c>
    </row>
    <row r="156" spans="1:10" ht="19" x14ac:dyDescent="0.25">
      <c r="A156" s="219" t="s">
        <v>271</v>
      </c>
      <c r="B156" s="318"/>
      <c r="C156" s="229" t="s">
        <v>262</v>
      </c>
      <c r="D156" s="254"/>
      <c r="E156" s="255"/>
      <c r="F156" s="321">
        <v>16000</v>
      </c>
      <c r="H156" s="11"/>
    </row>
    <row r="157" spans="1:10" ht="20" thickBot="1" x14ac:dyDescent="0.3">
      <c r="A157" s="325" t="s">
        <v>272</v>
      </c>
      <c r="B157" s="233">
        <f>B115</f>
        <v>105232.20797288521</v>
      </c>
      <c r="C157" s="226" t="s">
        <v>263</v>
      </c>
      <c r="D157" s="323"/>
      <c r="E157" s="259"/>
      <c r="F157" s="322">
        <v>148</v>
      </c>
      <c r="H157" s="11"/>
    </row>
    <row r="158" spans="1:10" ht="19" x14ac:dyDescent="0.25">
      <c r="A158" s="325" t="s">
        <v>273</v>
      </c>
      <c r="B158" s="256">
        <f>SUM(B110:B114)</f>
        <v>13216.201780847643</v>
      </c>
      <c r="C158" s="320" t="s">
        <v>264</v>
      </c>
      <c r="D158" s="230"/>
      <c r="E158" s="231"/>
      <c r="F158" s="232">
        <f>F155-(F156+F157)</f>
        <v>102300.40975373285</v>
      </c>
      <c r="H158" s="11"/>
    </row>
    <row r="159" spans="1:10" ht="20" thickBot="1" x14ac:dyDescent="0.3">
      <c r="A159" s="324" t="s">
        <v>271</v>
      </c>
      <c r="B159" s="319">
        <f>B157+B158</f>
        <v>118448.40975373285</v>
      </c>
      <c r="C159" s="234" t="s">
        <v>265</v>
      </c>
      <c r="D159" s="258"/>
      <c r="E159" s="259"/>
      <c r="F159" s="322">
        <v>461</v>
      </c>
      <c r="H159" s="11"/>
    </row>
    <row r="160" spans="1:10" ht="20" thickBot="1" x14ac:dyDescent="0.3">
      <c r="A160" s="57"/>
      <c r="B160" s="315"/>
      <c r="C160" s="237" t="s">
        <v>266</v>
      </c>
      <c r="D160" s="238"/>
      <c r="E160" s="239"/>
      <c r="F160" s="314">
        <f>F158/F159</f>
        <v>221.90978254605824</v>
      </c>
      <c r="G160" s="198"/>
      <c r="H160" s="199"/>
    </row>
    <row r="163" spans="1:9" ht="17" thickBot="1" x14ac:dyDescent="0.25"/>
    <row r="164" spans="1:9" ht="31" thickBot="1" x14ac:dyDescent="0.4">
      <c r="A164" s="46" t="s">
        <v>293</v>
      </c>
      <c r="B164" s="595" t="s">
        <v>294</v>
      </c>
      <c r="C164" s="593"/>
      <c r="D164" s="593"/>
      <c r="E164" s="593"/>
      <c r="F164" s="593"/>
      <c r="G164" s="593"/>
      <c r="H164" s="594"/>
    </row>
    <row r="165" spans="1:9" ht="78" customHeight="1" thickBot="1" x14ac:dyDescent="0.3">
      <c r="A165" s="266"/>
      <c r="B165" s="604" t="s">
        <v>164</v>
      </c>
      <c r="C165" s="604" t="s">
        <v>287</v>
      </c>
      <c r="D165" s="606" t="s">
        <v>291</v>
      </c>
      <c r="E165" s="606" t="s">
        <v>292</v>
      </c>
      <c r="F165" s="606" t="s">
        <v>290</v>
      </c>
      <c r="G165" s="606" t="s">
        <v>289</v>
      </c>
      <c r="H165" s="606" t="s">
        <v>288</v>
      </c>
    </row>
    <row r="166" spans="1:9" ht="21" thickBot="1" x14ac:dyDescent="0.3">
      <c r="A166" s="267" t="s">
        <v>278</v>
      </c>
      <c r="B166" s="605"/>
      <c r="C166" s="605"/>
      <c r="D166" s="607"/>
      <c r="E166" s="607"/>
      <c r="F166" s="607"/>
      <c r="G166" s="607"/>
      <c r="H166" s="606"/>
    </row>
    <row r="167" spans="1:9" ht="20" x14ac:dyDescent="0.25">
      <c r="A167" s="268" t="s">
        <v>279</v>
      </c>
      <c r="B167" s="269">
        <v>0.05</v>
      </c>
      <c r="C167" s="270">
        <v>0.1</v>
      </c>
      <c r="D167" s="271">
        <v>0.05</v>
      </c>
      <c r="E167" s="271">
        <v>0.05</v>
      </c>
      <c r="F167" s="270">
        <v>0.1</v>
      </c>
      <c r="G167" s="270">
        <v>0.1</v>
      </c>
      <c r="H167" s="272">
        <v>0.1</v>
      </c>
    </row>
    <row r="168" spans="1:9" ht="20" x14ac:dyDescent="0.25">
      <c r="A168" s="273" t="s">
        <v>280</v>
      </c>
      <c r="B168" s="274">
        <v>0.05</v>
      </c>
      <c r="C168" s="275">
        <v>0.1</v>
      </c>
      <c r="D168" s="276">
        <v>0.05</v>
      </c>
      <c r="E168" s="276">
        <v>0.05</v>
      </c>
      <c r="F168" s="275">
        <v>0.1</v>
      </c>
      <c r="G168" s="275">
        <v>0.1</v>
      </c>
      <c r="H168" s="277">
        <v>0.1</v>
      </c>
    </row>
    <row r="169" spans="1:9" ht="20" x14ac:dyDescent="0.25">
      <c r="A169" s="278" t="s">
        <v>281</v>
      </c>
      <c r="B169" s="279">
        <v>0.05</v>
      </c>
      <c r="C169" s="280">
        <v>0.1</v>
      </c>
      <c r="D169" s="281">
        <v>0.05</v>
      </c>
      <c r="E169" s="281">
        <v>0.05</v>
      </c>
      <c r="F169" s="280">
        <v>0.1</v>
      </c>
      <c r="G169" s="280">
        <v>0.1</v>
      </c>
      <c r="H169" s="272">
        <v>0.1</v>
      </c>
    </row>
    <row r="170" spans="1:9" ht="20" x14ac:dyDescent="0.25">
      <c r="A170" s="273" t="s">
        <v>282</v>
      </c>
      <c r="B170" s="274">
        <v>0.05</v>
      </c>
      <c r="C170" s="275">
        <v>0.1</v>
      </c>
      <c r="D170" s="276">
        <v>0.05</v>
      </c>
      <c r="E170" s="276">
        <v>0.05</v>
      </c>
      <c r="F170" s="275">
        <v>0.1</v>
      </c>
      <c r="G170" s="275">
        <v>0.1</v>
      </c>
      <c r="H170" s="277">
        <v>0.1</v>
      </c>
    </row>
    <row r="171" spans="1:9" ht="20" x14ac:dyDescent="0.25">
      <c r="A171" s="278" t="s">
        <v>283</v>
      </c>
      <c r="B171" s="309">
        <v>4.2000000000000003E-2</v>
      </c>
      <c r="C171" s="286">
        <f>B171</f>
        <v>4.2000000000000003E-2</v>
      </c>
      <c r="D171" s="285">
        <v>0.08</v>
      </c>
      <c r="E171" s="286">
        <v>4.2000000000000003E-2</v>
      </c>
      <c r="F171" s="285">
        <v>0.08</v>
      </c>
      <c r="G171" s="286">
        <v>4.2000000000000003E-2</v>
      </c>
      <c r="H171" s="287">
        <v>0.08</v>
      </c>
    </row>
    <row r="172" spans="1:9" ht="20" x14ac:dyDescent="0.25">
      <c r="A172" s="273" t="s">
        <v>284</v>
      </c>
      <c r="B172" s="274">
        <v>0.3</v>
      </c>
      <c r="C172" s="276">
        <f>B172</f>
        <v>0.3</v>
      </c>
      <c r="D172" s="276">
        <v>0.3</v>
      </c>
      <c r="E172" s="288">
        <v>0.15</v>
      </c>
      <c r="F172" s="276">
        <v>0.3</v>
      </c>
      <c r="G172" s="288">
        <v>0.15</v>
      </c>
      <c r="H172" s="289">
        <v>0.15</v>
      </c>
    </row>
    <row r="173" spans="1:9" ht="21" thickBot="1" x14ac:dyDescent="0.3">
      <c r="A173" s="290" t="s">
        <v>244</v>
      </c>
      <c r="B173" s="310">
        <v>7.5899999999999995E-2</v>
      </c>
      <c r="C173" s="311">
        <v>7.5899999999999995E-2</v>
      </c>
      <c r="D173" s="311">
        <v>7.5899999999999995E-2</v>
      </c>
      <c r="E173" s="311">
        <v>7.5899999999999995E-2</v>
      </c>
      <c r="F173" s="311">
        <v>7.5899999999999995E-2</v>
      </c>
      <c r="G173" s="311">
        <v>7.5899999999999995E-2</v>
      </c>
      <c r="H173" s="312">
        <v>7.5899999999999995E-2</v>
      </c>
    </row>
    <row r="174" spans="1:9" ht="20" x14ac:dyDescent="0.25">
      <c r="A174" s="294" t="s">
        <v>285</v>
      </c>
      <c r="B174" s="600"/>
      <c r="C174" s="600"/>
      <c r="D174" s="600"/>
      <c r="E174" s="600"/>
      <c r="F174" s="600"/>
      <c r="G174" s="600"/>
      <c r="H174" s="601"/>
      <c r="I174" s="416" t="s">
        <v>383</v>
      </c>
    </row>
    <row r="175" spans="1:9" ht="20" x14ac:dyDescent="0.25">
      <c r="A175" s="295" t="s">
        <v>187</v>
      </c>
      <c r="B175" s="313">
        <f>B117</f>
        <v>118448.40975373285</v>
      </c>
      <c r="C175" s="297">
        <v>78475</v>
      </c>
      <c r="D175" s="297">
        <v>281432</v>
      </c>
      <c r="E175" s="297">
        <v>163835</v>
      </c>
      <c r="F175" s="297">
        <v>282042</v>
      </c>
      <c r="G175" s="297">
        <v>166276</v>
      </c>
      <c r="H175" s="298">
        <v>369843</v>
      </c>
    </row>
    <row r="176" spans="1:9" ht="20" x14ac:dyDescent="0.25">
      <c r="A176" s="299" t="s">
        <v>242</v>
      </c>
      <c r="B176" s="300">
        <f>F160</f>
        <v>221.90978254605824</v>
      </c>
      <c r="C176" s="302">
        <v>135</v>
      </c>
      <c r="D176" s="302">
        <v>575</v>
      </c>
      <c r="E176" s="302">
        <v>320</v>
      </c>
      <c r="F176" s="302">
        <v>577</v>
      </c>
      <c r="G176" s="302">
        <v>326</v>
      </c>
      <c r="H176" s="303">
        <v>767</v>
      </c>
    </row>
    <row r="177" spans="1:8" ht="21" thickBot="1" x14ac:dyDescent="0.3">
      <c r="A177" s="304" t="s">
        <v>286</v>
      </c>
      <c r="B177" s="305">
        <f>D95</f>
        <v>0.14000000000000004</v>
      </c>
      <c r="C177" s="306">
        <v>0.14000000000000001</v>
      </c>
      <c r="D177" s="307">
        <v>0.27</v>
      </c>
      <c r="E177" s="307">
        <v>0.28000000000000003</v>
      </c>
      <c r="F177" s="307">
        <v>0.27</v>
      </c>
      <c r="G177" s="307">
        <v>0.28000000000000003</v>
      </c>
      <c r="H177" s="308">
        <v>0.53</v>
      </c>
    </row>
    <row r="179" spans="1:8" ht="17" x14ac:dyDescent="0.2">
      <c r="A179" s="176" t="s">
        <v>296</v>
      </c>
      <c r="B179" s="3"/>
      <c r="C179" s="3"/>
      <c r="D179" s="3"/>
      <c r="E179" s="3"/>
      <c r="F179" s="3"/>
      <c r="G179" s="3"/>
      <c r="H179" s="3"/>
    </row>
    <row r="180" spans="1:8" ht="42" customHeight="1" x14ac:dyDescent="0.2">
      <c r="A180" s="587" t="s">
        <v>297</v>
      </c>
      <c r="B180" s="587"/>
      <c r="C180" s="587"/>
      <c r="D180" s="587"/>
      <c r="E180" s="587"/>
      <c r="F180" s="587"/>
      <c r="G180" s="587"/>
      <c r="H180" s="587"/>
    </row>
    <row r="181" spans="1:8" ht="57" customHeight="1" x14ac:dyDescent="0.2">
      <c r="A181" s="587" t="s">
        <v>298</v>
      </c>
      <c r="B181" s="587"/>
      <c r="C181" s="587"/>
      <c r="D181" s="587"/>
      <c r="E181" s="587"/>
      <c r="F181" s="587"/>
      <c r="G181" s="587"/>
      <c r="H181" s="587"/>
    </row>
    <row r="182" spans="1:8" ht="57" customHeight="1" x14ac:dyDescent="0.2">
      <c r="A182" s="587" t="s">
        <v>299</v>
      </c>
      <c r="B182" s="587"/>
      <c r="C182" s="587"/>
      <c r="D182" s="587"/>
      <c r="E182" s="587"/>
      <c r="F182" s="587"/>
      <c r="G182" s="587"/>
      <c r="H182" s="587"/>
    </row>
    <row r="183" spans="1:8" ht="64.25" customHeight="1" x14ac:dyDescent="0.2">
      <c r="A183" s="587" t="s">
        <v>302</v>
      </c>
      <c r="B183" s="587"/>
      <c r="C183" s="587"/>
      <c r="D183" s="587"/>
      <c r="E183" s="587"/>
      <c r="F183" s="587"/>
      <c r="G183" s="587"/>
      <c r="H183" s="587"/>
    </row>
    <row r="184" spans="1:8" ht="30" customHeight="1" x14ac:dyDescent="0.2">
      <c r="A184" s="587" t="s">
        <v>303</v>
      </c>
      <c r="B184" s="587"/>
      <c r="C184" s="587"/>
      <c r="D184" s="587"/>
      <c r="E184" s="587"/>
      <c r="F184" s="587"/>
      <c r="G184" s="587"/>
      <c r="H184" s="587"/>
    </row>
    <row r="186" spans="1:8" ht="17" thickBot="1" x14ac:dyDescent="0.25"/>
    <row r="187" spans="1:8" ht="59" customHeight="1" thickBot="1" x14ac:dyDescent="0.4">
      <c r="A187" s="336" t="s">
        <v>304</v>
      </c>
      <c r="B187" s="577" t="s">
        <v>305</v>
      </c>
      <c r="C187" s="577"/>
      <c r="D187" s="577"/>
      <c r="E187" s="577"/>
      <c r="F187" s="578"/>
    </row>
    <row r="188" spans="1:8" ht="17" x14ac:dyDescent="0.2">
      <c r="A188" s="344" t="s">
        <v>162</v>
      </c>
      <c r="B188" s="345"/>
      <c r="C188" s="345"/>
      <c r="D188" s="345"/>
      <c r="E188" s="345"/>
      <c r="F188" s="346"/>
    </row>
    <row r="189" spans="1:8" ht="17" x14ac:dyDescent="0.2">
      <c r="A189" s="337" t="s">
        <v>307</v>
      </c>
      <c r="B189" s="190">
        <v>1.1200000000000001</v>
      </c>
      <c r="C189" s="579" t="s">
        <v>312</v>
      </c>
      <c r="D189" s="579"/>
      <c r="E189" s="579"/>
      <c r="F189" s="580"/>
    </row>
    <row r="190" spans="1:8" ht="17" x14ac:dyDescent="0.2">
      <c r="A190" s="337" t="s">
        <v>306</v>
      </c>
      <c r="B190" s="376">
        <f>B129+(B123*B128)</f>
        <v>8.7999999999999995E-2</v>
      </c>
      <c r="C190" s="579" t="s">
        <v>313</v>
      </c>
      <c r="D190" s="579"/>
      <c r="E190" s="579"/>
      <c r="F190" s="580"/>
    </row>
    <row r="191" spans="1:8" ht="17" x14ac:dyDescent="0.2">
      <c r="A191" s="337" t="s">
        <v>308</v>
      </c>
      <c r="B191" s="357">
        <v>0.05</v>
      </c>
      <c r="C191" s="579" t="s">
        <v>314</v>
      </c>
      <c r="D191" s="579"/>
      <c r="E191" s="579"/>
      <c r="F191" s="580"/>
    </row>
    <row r="192" spans="1:8" ht="17" x14ac:dyDescent="0.2">
      <c r="A192" s="337" t="s">
        <v>309</v>
      </c>
      <c r="B192" s="357">
        <v>0.04</v>
      </c>
      <c r="C192" s="579" t="s">
        <v>315</v>
      </c>
      <c r="D192" s="579"/>
      <c r="E192" s="579"/>
      <c r="F192" s="580"/>
    </row>
    <row r="193" spans="1:6" ht="17" x14ac:dyDescent="0.2">
      <c r="A193" s="337" t="s">
        <v>310</v>
      </c>
      <c r="B193" s="357">
        <v>0.03</v>
      </c>
      <c r="C193" s="579" t="s">
        <v>316</v>
      </c>
      <c r="D193" s="579"/>
      <c r="E193" s="579"/>
      <c r="F193" s="580"/>
    </row>
    <row r="194" spans="1:6" ht="18" thickBot="1" x14ac:dyDescent="0.25">
      <c r="A194" s="347" t="s">
        <v>311</v>
      </c>
      <c r="B194" s="358">
        <v>0.02</v>
      </c>
      <c r="C194" s="582" t="s">
        <v>317</v>
      </c>
      <c r="D194" s="582"/>
      <c r="E194" s="582"/>
      <c r="F194" s="583"/>
    </row>
    <row r="195" spans="1:6" x14ac:dyDescent="0.2">
      <c r="A195" s="584" t="s">
        <v>165</v>
      </c>
      <c r="B195" s="585"/>
      <c r="C195" s="585"/>
      <c r="D195" s="585"/>
      <c r="E195" s="585"/>
      <c r="F195" s="586"/>
    </row>
    <row r="196" spans="1:6" ht="17" x14ac:dyDescent="0.2">
      <c r="A196" s="348" t="s">
        <v>245</v>
      </c>
      <c r="B196" s="338">
        <v>0</v>
      </c>
      <c r="C196" s="338">
        <v>1</v>
      </c>
      <c r="D196" s="338">
        <v>2</v>
      </c>
      <c r="E196" s="338">
        <v>3</v>
      </c>
      <c r="F196" s="349"/>
    </row>
    <row r="197" spans="1:6" ht="17" x14ac:dyDescent="0.2">
      <c r="A197" s="348" t="s">
        <v>318</v>
      </c>
      <c r="B197" s="339"/>
      <c r="C197" s="360">
        <v>0.05</v>
      </c>
      <c r="D197" s="360">
        <v>0.04</v>
      </c>
      <c r="E197" s="360">
        <v>0.03</v>
      </c>
      <c r="F197" s="360">
        <v>0.02</v>
      </c>
    </row>
    <row r="198" spans="1:6" ht="17" x14ac:dyDescent="0.2">
      <c r="A198" s="348" t="s">
        <v>319</v>
      </c>
      <c r="B198" s="338" t="s">
        <v>321</v>
      </c>
      <c r="C198" s="338" t="s">
        <v>322</v>
      </c>
      <c r="D198" s="338" t="s">
        <v>323</v>
      </c>
      <c r="E198" s="338" t="s">
        <v>324</v>
      </c>
      <c r="F198" s="350"/>
    </row>
    <row r="199" spans="1:6" ht="17" x14ac:dyDescent="0.2">
      <c r="A199" s="348" t="s">
        <v>320</v>
      </c>
      <c r="B199" s="359">
        <f>B189</f>
        <v>1.1200000000000001</v>
      </c>
      <c r="C199" s="359">
        <f>B199*(1+B191)</f>
        <v>1.1760000000000002</v>
      </c>
      <c r="D199" s="361">
        <f>C199*(1+B192)</f>
        <v>1.2230400000000001</v>
      </c>
      <c r="E199" s="361">
        <f>D199*(1+B193)</f>
        <v>1.2597312000000003</v>
      </c>
      <c r="F199" s="7"/>
    </row>
    <row r="200" spans="1:6" x14ac:dyDescent="0.2">
      <c r="A200" s="8"/>
      <c r="D200" s="6"/>
      <c r="E200" s="6"/>
      <c r="F200" s="7"/>
    </row>
    <row r="201" spans="1:6" x14ac:dyDescent="0.2">
      <c r="A201" s="8"/>
      <c r="D201" s="6"/>
      <c r="E201" s="6"/>
      <c r="F201" s="7"/>
    </row>
    <row r="202" spans="1:6" ht="17" thickBot="1" x14ac:dyDescent="0.25">
      <c r="A202" s="8"/>
      <c r="C202" s="341" t="s">
        <v>325</v>
      </c>
      <c r="D202" s="342" t="s">
        <v>326</v>
      </c>
      <c r="E202" s="342" t="s">
        <v>327</v>
      </c>
      <c r="F202" s="7"/>
    </row>
    <row r="203" spans="1:6" x14ac:dyDescent="0.2">
      <c r="A203" s="8"/>
      <c r="C203" s="340" t="s">
        <v>328</v>
      </c>
      <c r="D203" s="340" t="s">
        <v>329</v>
      </c>
      <c r="E203" s="340" t="s">
        <v>330</v>
      </c>
      <c r="F203" s="351" t="s">
        <v>331</v>
      </c>
    </row>
    <row r="204" spans="1:6" x14ac:dyDescent="0.2">
      <c r="A204" s="8"/>
      <c r="C204" s="333"/>
      <c r="D204" s="334"/>
      <c r="E204" s="334"/>
      <c r="F204" s="7"/>
    </row>
    <row r="205" spans="1:6" ht="17" thickBot="1" x14ac:dyDescent="0.25">
      <c r="A205" s="8"/>
      <c r="C205" s="333"/>
      <c r="D205" s="334"/>
      <c r="E205" s="581" t="s">
        <v>332</v>
      </c>
      <c r="F205" s="352" t="s">
        <v>334</v>
      </c>
    </row>
    <row r="206" spans="1:6" x14ac:dyDescent="0.2">
      <c r="A206" s="8"/>
      <c r="C206" s="333"/>
      <c r="D206" s="334"/>
      <c r="E206" s="581"/>
      <c r="F206" s="353" t="s">
        <v>333</v>
      </c>
    </row>
    <row r="207" spans="1:6" x14ac:dyDescent="0.2">
      <c r="A207" s="8"/>
      <c r="C207" s="333"/>
      <c r="D207" s="334"/>
      <c r="E207" s="334"/>
      <c r="F207" s="7"/>
    </row>
    <row r="208" spans="1:6" ht="17" thickBot="1" x14ac:dyDescent="0.25">
      <c r="A208" s="8"/>
      <c r="D208" s="6"/>
      <c r="E208" s="581" t="s">
        <v>332</v>
      </c>
      <c r="F208" s="367">
        <f>E199/(1+B194)</f>
        <v>1.2350305882352943</v>
      </c>
    </row>
    <row r="209" spans="1:6" x14ac:dyDescent="0.2">
      <c r="A209" s="574" t="s">
        <v>337</v>
      </c>
      <c r="B209" s="377">
        <f>C199/(1+B190)</f>
        <v>1.0808823529411766</v>
      </c>
      <c r="D209" s="6"/>
      <c r="E209" s="581"/>
      <c r="F209" s="380">
        <f>B190-B194</f>
        <v>6.7999999999999991E-2</v>
      </c>
    </row>
    <row r="210" spans="1:6" x14ac:dyDescent="0.2">
      <c r="A210" s="575"/>
      <c r="B210" s="378">
        <f>D199/(1+B190)*(1+B190)</f>
        <v>1.2230400000000001</v>
      </c>
      <c r="D210" s="6"/>
      <c r="E210" s="6"/>
      <c r="F210" s="7"/>
    </row>
    <row r="211" spans="1:6" ht="17" thickBot="1" x14ac:dyDescent="0.25">
      <c r="A211" s="576"/>
      <c r="B211" s="379">
        <f>E199/(1+B190)*(1+B190)*(1+B190)</f>
        <v>1.3705875456000003</v>
      </c>
      <c r="D211" s="6"/>
      <c r="E211" s="343" t="s">
        <v>332</v>
      </c>
      <c r="F211" s="381">
        <f>F208/F209</f>
        <v>18.162214532871978</v>
      </c>
    </row>
    <row r="212" spans="1:6" x14ac:dyDescent="0.2">
      <c r="A212" s="8"/>
      <c r="D212" s="6"/>
      <c r="E212" s="331"/>
      <c r="F212" s="7"/>
    </row>
    <row r="213" spans="1:6" ht="17" x14ac:dyDescent="0.2">
      <c r="A213" s="354" t="s">
        <v>336</v>
      </c>
      <c r="B213" s="373">
        <f>D214/D215</f>
        <v>14.102045616983789</v>
      </c>
      <c r="D213" s="6"/>
      <c r="E213" s="6"/>
      <c r="F213" s="7"/>
    </row>
    <row r="214" spans="1:6" ht="17" thickBot="1" x14ac:dyDescent="0.25">
      <c r="A214" s="8"/>
      <c r="D214" s="371">
        <f>F211</f>
        <v>18.162214532871978</v>
      </c>
      <c r="E214" s="6"/>
      <c r="F214" s="352" t="s">
        <v>335</v>
      </c>
    </row>
    <row r="215" spans="1:6" ht="18" thickBot="1" x14ac:dyDescent="0.25">
      <c r="A215" s="356" t="s">
        <v>174</v>
      </c>
      <c r="B215" s="383">
        <f>B209+B210+B211+B213</f>
        <v>17.776555515524965</v>
      </c>
      <c r="C215" s="197"/>
      <c r="D215" s="382">
        <f>(1+B190)*(1+B190)*(1+B190)</f>
        <v>1.2879134720000003</v>
      </c>
      <c r="E215" s="214"/>
      <c r="F215" s="355" t="s">
        <v>330</v>
      </c>
    </row>
    <row r="220" spans="1:6" ht="17" thickBot="1" x14ac:dyDescent="0.25"/>
    <row r="221" spans="1:6" ht="56.75" customHeight="1" x14ac:dyDescent="0.35">
      <c r="A221" s="336" t="s">
        <v>353</v>
      </c>
    </row>
    <row r="222" spans="1:6" ht="20" x14ac:dyDescent="0.2">
      <c r="A222" s="388" t="s">
        <v>340</v>
      </c>
      <c r="B222" s="388" t="s">
        <v>342</v>
      </c>
      <c r="C222" s="384"/>
    </row>
    <row r="223" spans="1:6" ht="105.5" customHeight="1" x14ac:dyDescent="0.2">
      <c r="A223" s="389" t="s">
        <v>343</v>
      </c>
      <c r="B223" s="390" t="s">
        <v>345</v>
      </c>
      <c r="C223" s="385"/>
    </row>
    <row r="224" spans="1:6" ht="97.25" customHeight="1" x14ac:dyDescent="0.2">
      <c r="A224" s="389" t="s">
        <v>346</v>
      </c>
      <c r="B224" s="390" t="s">
        <v>348</v>
      </c>
      <c r="C224" s="385"/>
    </row>
    <row r="225" spans="1:17" ht="110" customHeight="1" x14ac:dyDescent="0.2">
      <c r="A225" s="389" t="s">
        <v>349</v>
      </c>
      <c r="B225" s="390" t="s">
        <v>351</v>
      </c>
      <c r="C225" s="385"/>
    </row>
    <row r="228" spans="1:17" ht="19" x14ac:dyDescent="0.25">
      <c r="A228" s="16" t="s">
        <v>352</v>
      </c>
    </row>
    <row r="229" spans="1:17" ht="191.5" customHeight="1" x14ac:dyDescent="0.25">
      <c r="A229" s="88" t="s">
        <v>355</v>
      </c>
      <c r="B229" s="1"/>
      <c r="C229" s="1"/>
      <c r="D229" s="1"/>
      <c r="E229" s="1"/>
      <c r="F229" s="1"/>
      <c r="G229" s="1"/>
      <c r="H229" s="1"/>
      <c r="I229" s="126"/>
      <c r="J229" s="1"/>
      <c r="K229" s="1"/>
      <c r="L229" s="1"/>
      <c r="M229" s="1"/>
      <c r="N229" s="1"/>
      <c r="O229" s="1"/>
      <c r="P229" s="1"/>
      <c r="Q229" s="1"/>
    </row>
  </sheetData>
  <mergeCells count="32">
    <mergeCell ref="E205:E206"/>
    <mergeCell ref="E208:E209"/>
    <mergeCell ref="A209:A211"/>
    <mergeCell ref="B146:H146"/>
    <mergeCell ref="C101:G101"/>
    <mergeCell ref="A110:A114"/>
    <mergeCell ref="B165:B166"/>
    <mergeCell ref="C165:C166"/>
    <mergeCell ref="D165:D166"/>
    <mergeCell ref="E165:E166"/>
    <mergeCell ref="F165:F166"/>
    <mergeCell ref="G165:G166"/>
    <mergeCell ref="H165:H166"/>
    <mergeCell ref="A184:H184"/>
    <mergeCell ref="B174:H174"/>
    <mergeCell ref="A180:H180"/>
    <mergeCell ref="B1:H1"/>
    <mergeCell ref="B69:H69"/>
    <mergeCell ref="B80:H80"/>
    <mergeCell ref="B98:H98"/>
    <mergeCell ref="B164:H164"/>
    <mergeCell ref="A181:H181"/>
    <mergeCell ref="A182:H182"/>
    <mergeCell ref="A183:H183"/>
    <mergeCell ref="B187:F187"/>
    <mergeCell ref="C189:F189"/>
    <mergeCell ref="A195:F195"/>
    <mergeCell ref="C190:F190"/>
    <mergeCell ref="C191:F191"/>
    <mergeCell ref="C192:F192"/>
    <mergeCell ref="C193:F193"/>
    <mergeCell ref="C194:F19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F329-18FD-41DD-8E31-4FF99075BC8A}">
  <dimension ref="A1:F61"/>
  <sheetViews>
    <sheetView zoomScale="120" zoomScaleNormal="120" workbookViewId="0">
      <selection activeCell="H43" sqref="H43"/>
    </sheetView>
  </sheetViews>
  <sheetFormatPr baseColWidth="10" defaultColWidth="8.83203125" defaultRowHeight="16" x14ac:dyDescent="0.2"/>
  <cols>
    <col min="1" max="1" width="22.5" bestFit="1" customWidth="1"/>
    <col min="3" max="3" width="10.83203125" style="333" bestFit="1" customWidth="1"/>
    <col min="4" max="4" width="28" bestFit="1" customWidth="1"/>
    <col min="5" max="5" width="12.5" style="333" customWidth="1"/>
  </cols>
  <sheetData>
    <row r="1" spans="1:6" ht="20" x14ac:dyDescent="0.2">
      <c r="A1" s="620" t="s">
        <v>479</v>
      </c>
      <c r="B1" s="620"/>
      <c r="C1" s="620"/>
      <c r="D1" s="620"/>
      <c r="E1" s="620"/>
    </row>
    <row r="2" spans="1:6" ht="21" thickBot="1" x14ac:dyDescent="0.25">
      <c r="A2" s="449"/>
      <c r="B2" s="449"/>
      <c r="C2" s="449"/>
      <c r="D2" s="449"/>
      <c r="E2" s="449"/>
    </row>
    <row r="3" spans="1:6" ht="17" thickBot="1" x14ac:dyDescent="0.25">
      <c r="A3" s="418" t="s">
        <v>164</v>
      </c>
      <c r="B3" s="5"/>
      <c r="C3" s="435"/>
      <c r="D3" s="5"/>
      <c r="E3" s="419"/>
    </row>
    <row r="4" spans="1:6" ht="17" thickBot="1" x14ac:dyDescent="0.25">
      <c r="A4" s="444" t="s">
        <v>384</v>
      </c>
      <c r="B4" s="445"/>
      <c r="C4" s="446" t="s">
        <v>402</v>
      </c>
      <c r="D4" s="445"/>
      <c r="E4" s="447" t="s">
        <v>403</v>
      </c>
    </row>
    <row r="5" spans="1:6" x14ac:dyDescent="0.2">
      <c r="A5" s="420" t="s">
        <v>78</v>
      </c>
      <c r="C5" s="441">
        <v>2024</v>
      </c>
      <c r="D5" s="442" t="s">
        <v>498</v>
      </c>
      <c r="E5" s="443">
        <v>2025</v>
      </c>
    </row>
    <row r="6" spans="1:6" x14ac:dyDescent="0.2">
      <c r="A6" s="13" t="s">
        <v>385</v>
      </c>
      <c r="C6" s="451">
        <v>3805</v>
      </c>
      <c r="D6" t="s">
        <v>433</v>
      </c>
      <c r="E6" s="459">
        <f>E33*0.02</f>
        <v>2363.0640000000003</v>
      </c>
      <c r="F6" t="s">
        <v>496</v>
      </c>
    </row>
    <row r="7" spans="1:6" x14ac:dyDescent="0.2">
      <c r="A7" s="453" t="s">
        <v>386</v>
      </c>
      <c r="C7" s="450">
        <v>0</v>
      </c>
      <c r="D7" s="422" t="s">
        <v>404</v>
      </c>
      <c r="E7" s="460">
        <v>0</v>
      </c>
    </row>
    <row r="8" spans="1:6" x14ac:dyDescent="0.2">
      <c r="A8" s="13" t="s">
        <v>387</v>
      </c>
      <c r="C8" s="451">
        <v>0</v>
      </c>
      <c r="D8" t="s">
        <v>434</v>
      </c>
      <c r="E8" s="460">
        <f>E33*0.1</f>
        <v>11815.320000000002</v>
      </c>
      <c r="F8" t="s">
        <v>482</v>
      </c>
    </row>
    <row r="9" spans="1:6" x14ac:dyDescent="0.2">
      <c r="A9" s="13" t="s">
        <v>3</v>
      </c>
      <c r="C9" s="334">
        <v>11886</v>
      </c>
      <c r="D9" t="s">
        <v>435</v>
      </c>
      <c r="E9" s="460">
        <f>E33*0.2</f>
        <v>23630.640000000003</v>
      </c>
      <c r="F9" t="s">
        <v>484</v>
      </c>
    </row>
    <row r="10" spans="1:6" ht="17" thickBot="1" x14ac:dyDescent="0.25">
      <c r="A10" s="13" t="s">
        <v>452</v>
      </c>
      <c r="C10" s="452">
        <v>1807</v>
      </c>
      <c r="E10" s="460">
        <f>C10</f>
        <v>1807</v>
      </c>
    </row>
    <row r="11" spans="1:6" x14ac:dyDescent="0.2">
      <c r="A11" s="13" t="s">
        <v>72</v>
      </c>
      <c r="C11" s="451">
        <f>SUM(C6:C10)</f>
        <v>17498</v>
      </c>
      <c r="E11" s="460">
        <f>SUM(E6:E10)</f>
        <v>39616.024000000005</v>
      </c>
    </row>
    <row r="12" spans="1:6" x14ac:dyDescent="0.2">
      <c r="A12" s="13" t="s">
        <v>388</v>
      </c>
      <c r="C12" s="334">
        <v>33096</v>
      </c>
      <c r="D12" t="s">
        <v>436</v>
      </c>
      <c r="E12" s="460">
        <f>E33*0.4</f>
        <v>47261.280000000006</v>
      </c>
      <c r="F12" t="s">
        <v>483</v>
      </c>
    </row>
    <row r="13" spans="1:6" ht="17" thickBot="1" x14ac:dyDescent="0.25">
      <c r="A13" s="13" t="s">
        <v>77</v>
      </c>
      <c r="C13" s="452">
        <v>4762</v>
      </c>
      <c r="E13" s="460">
        <f>C13</f>
        <v>4762</v>
      </c>
    </row>
    <row r="14" spans="1:6" x14ac:dyDescent="0.2">
      <c r="A14" s="211" t="s">
        <v>389</v>
      </c>
      <c r="C14" s="451">
        <f>SUM(C11:C13)</f>
        <v>55356</v>
      </c>
      <c r="E14" s="460">
        <f>SUM(E11:E13)</f>
        <v>91639.304000000004</v>
      </c>
    </row>
    <row r="15" spans="1:6" x14ac:dyDescent="0.2">
      <c r="A15" s="420" t="s">
        <v>390</v>
      </c>
      <c r="E15" s="460"/>
    </row>
    <row r="16" spans="1:6" x14ac:dyDescent="0.2">
      <c r="A16" s="13" t="s">
        <v>391</v>
      </c>
      <c r="C16" s="451">
        <v>12098</v>
      </c>
      <c r="D16" t="s">
        <v>437</v>
      </c>
      <c r="E16" s="460">
        <f>E33*0.04</f>
        <v>4726.1280000000006</v>
      </c>
      <c r="F16" t="s">
        <v>485</v>
      </c>
    </row>
    <row r="17" spans="1:6" x14ac:dyDescent="0.2">
      <c r="A17" s="421" t="s">
        <v>392</v>
      </c>
      <c r="C17" s="451">
        <v>22620</v>
      </c>
      <c r="D17" s="422" t="s">
        <v>405</v>
      </c>
      <c r="E17" s="460">
        <f>C17</f>
        <v>22620</v>
      </c>
    </row>
    <row r="18" spans="1:6" x14ac:dyDescent="0.2">
      <c r="A18" s="13" t="s">
        <v>393</v>
      </c>
      <c r="C18" s="451">
        <v>6090</v>
      </c>
      <c r="D18" t="s">
        <v>438</v>
      </c>
      <c r="E18" s="460">
        <f>E33*0.08</f>
        <v>9452.2560000000012</v>
      </c>
      <c r="F18" t="s">
        <v>486</v>
      </c>
    </row>
    <row r="19" spans="1:6" x14ac:dyDescent="0.2">
      <c r="A19" s="13" t="s">
        <v>450</v>
      </c>
      <c r="C19" s="451">
        <v>1116</v>
      </c>
      <c r="E19" s="460">
        <f>C19</f>
        <v>1116</v>
      </c>
    </row>
    <row r="20" spans="1:6" x14ac:dyDescent="0.2">
      <c r="A20" s="423" t="s">
        <v>394</v>
      </c>
      <c r="C20" s="450">
        <v>0</v>
      </c>
      <c r="D20" s="424" t="s">
        <v>406</v>
      </c>
      <c r="E20" s="460">
        <v>0</v>
      </c>
    </row>
    <row r="21" spans="1:6" x14ac:dyDescent="0.2">
      <c r="A21" s="13" t="s">
        <v>451</v>
      </c>
      <c r="C21" s="455">
        <f>SUM(C16:C20)</f>
        <v>41924</v>
      </c>
      <c r="E21" s="460">
        <f>SUM(E16:E20)</f>
        <v>37914.384000000005</v>
      </c>
      <c r="F21" t="s">
        <v>487</v>
      </c>
    </row>
    <row r="22" spans="1:6" x14ac:dyDescent="0.2">
      <c r="A22" s="421" t="s">
        <v>395</v>
      </c>
      <c r="C22" s="450">
        <v>0</v>
      </c>
      <c r="D22" s="422" t="s">
        <v>405</v>
      </c>
      <c r="E22" s="460">
        <v>0</v>
      </c>
    </row>
    <row r="23" spans="1:6" x14ac:dyDescent="0.2">
      <c r="A23" s="211" t="s">
        <v>396</v>
      </c>
      <c r="C23" s="455">
        <f>SUM(C21:C22)</f>
        <v>41924</v>
      </c>
      <c r="E23" s="460">
        <f>E21</f>
        <v>37914.384000000005</v>
      </c>
      <c r="F23" t="str">
        <f>F21</f>
        <v>Total current liabilities decrease dramatically due to reduced accounts payable</v>
      </c>
    </row>
    <row r="24" spans="1:6" x14ac:dyDescent="0.2">
      <c r="A24" s="421" t="s">
        <v>397</v>
      </c>
      <c r="C24" s="450">
        <v>0</v>
      </c>
      <c r="D24" s="422" t="s">
        <v>405</v>
      </c>
      <c r="E24" s="460">
        <v>0</v>
      </c>
    </row>
    <row r="25" spans="1:6" x14ac:dyDescent="0.2">
      <c r="A25" s="421" t="s">
        <v>398</v>
      </c>
      <c r="C25" s="451">
        <v>38</v>
      </c>
      <c r="D25" s="422" t="s">
        <v>405</v>
      </c>
      <c r="E25" s="460">
        <f>C25</f>
        <v>38</v>
      </c>
    </row>
    <row r="26" spans="1:6" x14ac:dyDescent="0.2">
      <c r="A26" s="13" t="s">
        <v>399</v>
      </c>
      <c r="C26" s="451">
        <v>7093</v>
      </c>
      <c r="D26" s="425" t="s">
        <v>407</v>
      </c>
      <c r="E26" s="460">
        <f>C26+E51</f>
        <v>9751.8851359999971</v>
      </c>
    </row>
    <row r="27" spans="1:6" x14ac:dyDescent="0.2">
      <c r="A27" s="13" t="s">
        <v>456</v>
      </c>
      <c r="C27" s="451">
        <v>6301</v>
      </c>
      <c r="D27" s="425"/>
      <c r="E27" s="460">
        <f>C27</f>
        <v>6301</v>
      </c>
    </row>
    <row r="28" spans="1:6" x14ac:dyDescent="0.2">
      <c r="A28" s="13" t="s">
        <v>400</v>
      </c>
      <c r="C28" s="455">
        <f>SUM(C24:C27)</f>
        <v>13432</v>
      </c>
      <c r="E28" s="460">
        <f>SUM(E25:E27)</f>
        <v>16090.885135999997</v>
      </c>
    </row>
    <row r="29" spans="1:6" x14ac:dyDescent="0.2">
      <c r="A29" s="13" t="s">
        <v>401</v>
      </c>
      <c r="C29" s="455">
        <f>SUM(C28+C23)</f>
        <v>55356</v>
      </c>
      <c r="E29" s="460">
        <f>E23+E28</f>
        <v>54005.269136000003</v>
      </c>
      <c r="F29" t="s">
        <v>489</v>
      </c>
    </row>
    <row r="30" spans="1:6" ht="17" thickBot="1" x14ac:dyDescent="0.25">
      <c r="A30" s="426"/>
      <c r="B30" s="197"/>
      <c r="C30" s="434"/>
      <c r="D30" s="438" t="s">
        <v>408</v>
      </c>
      <c r="E30" s="462">
        <f>E14-E29</f>
        <v>37634.034864000001</v>
      </c>
      <c r="F30" t="s">
        <v>488</v>
      </c>
    </row>
    <row r="31" spans="1:6" x14ac:dyDescent="0.2">
      <c r="A31" s="428" t="s">
        <v>409</v>
      </c>
      <c r="B31" s="429"/>
      <c r="C31" s="436" t="s">
        <v>402</v>
      </c>
      <c r="D31" s="429"/>
      <c r="E31" s="439" t="s">
        <v>403</v>
      </c>
    </row>
    <row r="32" spans="1:6" x14ac:dyDescent="0.2">
      <c r="A32" s="13"/>
      <c r="C32" s="427">
        <v>2024</v>
      </c>
      <c r="D32" s="437" t="s">
        <v>498</v>
      </c>
      <c r="E32" s="440">
        <v>2025</v>
      </c>
    </row>
    <row r="33" spans="1:6" x14ac:dyDescent="0.2">
      <c r="A33" s="13" t="s">
        <v>127</v>
      </c>
      <c r="C33" s="451">
        <v>107412</v>
      </c>
      <c r="D33" t="s">
        <v>440</v>
      </c>
      <c r="E33" s="459">
        <f>C33*1.1</f>
        <v>118153.20000000001</v>
      </c>
    </row>
    <row r="34" spans="1:6" x14ac:dyDescent="0.2">
      <c r="A34" s="13" t="s">
        <v>410</v>
      </c>
      <c r="C34" s="451">
        <f>101705</f>
        <v>101705</v>
      </c>
      <c r="D34" t="s">
        <v>441</v>
      </c>
      <c r="E34" s="459">
        <f>0.78*(E33)</f>
        <v>92159.496000000014</v>
      </c>
      <c r="F34" t="s">
        <v>490</v>
      </c>
    </row>
    <row r="35" spans="1:6" x14ac:dyDescent="0.2">
      <c r="A35" s="13" t="s">
        <v>411</v>
      </c>
      <c r="C35" s="451">
        <v>2415</v>
      </c>
      <c r="D35" t="s">
        <v>442</v>
      </c>
      <c r="E35" s="459">
        <f>E12*0.1</f>
        <v>4726.1280000000006</v>
      </c>
      <c r="F35" t="s">
        <v>497</v>
      </c>
    </row>
    <row r="36" spans="1:6" x14ac:dyDescent="0.2">
      <c r="A36" s="13" t="s">
        <v>412</v>
      </c>
      <c r="C36" s="450">
        <v>0</v>
      </c>
      <c r="D36" t="s">
        <v>434</v>
      </c>
      <c r="E36" s="459">
        <f>E33*0.1</f>
        <v>11815.320000000002</v>
      </c>
      <c r="F36" t="s">
        <v>491</v>
      </c>
    </row>
    <row r="37" spans="1:6" x14ac:dyDescent="0.2">
      <c r="A37" s="13" t="s">
        <v>413</v>
      </c>
      <c r="C37" s="450">
        <v>0</v>
      </c>
      <c r="D37" t="s">
        <v>439</v>
      </c>
      <c r="E37" s="460">
        <v>0</v>
      </c>
    </row>
    <row r="38" spans="1:6" x14ac:dyDescent="0.2">
      <c r="A38" s="13" t="s">
        <v>414</v>
      </c>
      <c r="C38" s="455">
        <f>SUM(C33-C34)</f>
        <v>5707</v>
      </c>
      <c r="E38" s="460">
        <f>SUM(E33-E34-E35-E36-E37)</f>
        <v>9452.2559999999958</v>
      </c>
      <c r="F38" t="s">
        <v>492</v>
      </c>
    </row>
    <row r="39" spans="1:6" x14ac:dyDescent="0.2">
      <c r="A39" s="430" t="s">
        <v>415</v>
      </c>
      <c r="C39" s="451">
        <v>410</v>
      </c>
      <c r="D39" s="448" t="s">
        <v>443</v>
      </c>
      <c r="E39" s="460">
        <f>C39*1.08</f>
        <v>442.8</v>
      </c>
    </row>
    <row r="40" spans="1:6" x14ac:dyDescent="0.2">
      <c r="A40" s="431" t="s">
        <v>416</v>
      </c>
      <c r="C40" s="451">
        <v>0</v>
      </c>
      <c r="D40" s="448" t="s">
        <v>444</v>
      </c>
      <c r="E40" s="460">
        <v>0</v>
      </c>
    </row>
    <row r="41" spans="1:6" x14ac:dyDescent="0.2">
      <c r="A41" s="431" t="s">
        <v>459</v>
      </c>
      <c r="C41" s="451">
        <v>0</v>
      </c>
      <c r="D41" s="448"/>
      <c r="E41" s="460"/>
    </row>
    <row r="42" spans="1:6" x14ac:dyDescent="0.2">
      <c r="A42" s="432" t="s">
        <v>417</v>
      </c>
      <c r="C42" s="451">
        <v>0</v>
      </c>
      <c r="D42" s="424" t="s">
        <v>445</v>
      </c>
      <c r="E42" s="460">
        <v>0</v>
      </c>
    </row>
    <row r="43" spans="1:6" x14ac:dyDescent="0.2">
      <c r="A43" s="13" t="s">
        <v>418</v>
      </c>
      <c r="C43" s="455">
        <f>SUM(C38-C39-C41)</f>
        <v>5297</v>
      </c>
      <c r="E43" s="460">
        <f>E38-E39-E41-E42</f>
        <v>9009.4559999999965</v>
      </c>
    </row>
    <row r="44" spans="1:6" x14ac:dyDescent="0.2">
      <c r="A44" s="13" t="s">
        <v>480</v>
      </c>
      <c r="C44" s="451">
        <v>1159</v>
      </c>
      <c r="D44" t="s">
        <v>481</v>
      </c>
      <c r="E44" s="460">
        <f>(E43*0.219)</f>
        <v>1973.0708639999993</v>
      </c>
    </row>
    <row r="45" spans="1:6" x14ac:dyDescent="0.2">
      <c r="A45" s="13" t="s">
        <v>461</v>
      </c>
      <c r="C45" s="451">
        <v>41</v>
      </c>
      <c r="D45" t="s">
        <v>464</v>
      </c>
      <c r="E45" s="460">
        <f>C45</f>
        <v>41</v>
      </c>
    </row>
    <row r="46" spans="1:6" x14ac:dyDescent="0.2">
      <c r="A46" s="13" t="s">
        <v>462</v>
      </c>
      <c r="C46" s="451">
        <f>SUM(C43-C44-C45)</f>
        <v>4097</v>
      </c>
      <c r="E46" s="460">
        <f>SUM(E43-E44-E45)</f>
        <v>6995.3851359999971</v>
      </c>
    </row>
    <row r="47" spans="1:6" x14ac:dyDescent="0.2">
      <c r="A47" s="421" t="s">
        <v>419</v>
      </c>
      <c r="C47" s="451">
        <v>0</v>
      </c>
      <c r="D47" s="448" t="s">
        <v>447</v>
      </c>
      <c r="E47" s="460">
        <v>0</v>
      </c>
    </row>
    <row r="48" spans="1:6" x14ac:dyDescent="0.2">
      <c r="A48" s="13" t="s">
        <v>420</v>
      </c>
      <c r="C48" s="455">
        <f>SUM(C46:C47)</f>
        <v>4097</v>
      </c>
      <c r="E48" s="460">
        <f>E46-E47</f>
        <v>6995.3851359999971</v>
      </c>
    </row>
    <row r="49" spans="1:6" x14ac:dyDescent="0.2">
      <c r="A49" s="13" t="s">
        <v>421</v>
      </c>
      <c r="C49" s="451">
        <v>4130</v>
      </c>
      <c r="D49" t="s">
        <v>448</v>
      </c>
      <c r="E49" s="460">
        <f>C49*1.05</f>
        <v>4336.5</v>
      </c>
    </row>
    <row r="50" spans="1:6" x14ac:dyDescent="0.2">
      <c r="A50" s="432" t="s">
        <v>422</v>
      </c>
      <c r="C50" s="450">
        <v>0</v>
      </c>
      <c r="D50" s="433" t="s">
        <v>423</v>
      </c>
      <c r="E50" s="460">
        <v>0</v>
      </c>
    </row>
    <row r="51" spans="1:6" ht="17" thickBot="1" x14ac:dyDescent="0.25">
      <c r="A51" s="426" t="s">
        <v>465</v>
      </c>
      <c r="B51" s="197"/>
      <c r="C51" s="458">
        <f>SUM(C48-C49)</f>
        <v>-33</v>
      </c>
      <c r="D51" s="434" t="s">
        <v>424</v>
      </c>
      <c r="E51" s="461">
        <f>E48-E49</f>
        <v>2658.8851359999971</v>
      </c>
      <c r="F51" t="s">
        <v>493</v>
      </c>
    </row>
    <row r="52" spans="1:6" ht="17" thickBot="1" x14ac:dyDescent="0.25">
      <c r="A52" s="621" t="s">
        <v>425</v>
      </c>
      <c r="B52" s="622"/>
      <c r="C52" s="622"/>
      <c r="D52" s="622"/>
      <c r="E52" s="623"/>
    </row>
    <row r="53" spans="1:6" x14ac:dyDescent="0.2">
      <c r="A53" s="624" t="s">
        <v>426</v>
      </c>
      <c r="B53" s="625"/>
      <c r="C53" s="625"/>
      <c r="D53" s="626"/>
      <c r="E53" s="463">
        <v>-4010</v>
      </c>
      <c r="F53" t="s">
        <v>494</v>
      </c>
    </row>
    <row r="54" spans="1:6" x14ac:dyDescent="0.2">
      <c r="A54" s="627" t="s">
        <v>427</v>
      </c>
      <c r="B54" s="628"/>
      <c r="C54" s="628"/>
      <c r="D54" s="629"/>
      <c r="E54" s="460">
        <v>0</v>
      </c>
    </row>
    <row r="55" spans="1:6" x14ac:dyDescent="0.2">
      <c r="A55" s="627" t="s">
        <v>428</v>
      </c>
      <c r="B55" s="628"/>
      <c r="C55" s="628"/>
      <c r="D55" s="629"/>
      <c r="E55" s="460">
        <f>E46-E49</f>
        <v>2658.8851359999971</v>
      </c>
    </row>
    <row r="56" spans="1:6" ht="17" thickBot="1" x14ac:dyDescent="0.25">
      <c r="A56" s="617" t="s">
        <v>467</v>
      </c>
      <c r="B56" s="618"/>
      <c r="C56" s="618"/>
      <c r="D56" s="619"/>
      <c r="E56" s="464">
        <v>0</v>
      </c>
    </row>
    <row r="57" spans="1:6" x14ac:dyDescent="0.2">
      <c r="A57" s="608" t="s">
        <v>429</v>
      </c>
      <c r="B57" s="609"/>
      <c r="C57" s="609"/>
      <c r="D57" s="610"/>
      <c r="E57" s="463">
        <f>SUM(E55+E53)</f>
        <v>-1351.1148640000029</v>
      </c>
    </row>
    <row r="58" spans="1:6" ht="17" thickBot="1" x14ac:dyDescent="0.25">
      <c r="A58" s="611" t="s">
        <v>468</v>
      </c>
      <c r="B58" s="612"/>
      <c r="C58" s="612"/>
      <c r="D58" s="613"/>
      <c r="E58" s="464">
        <f>(E14-C14)</f>
        <v>36283.304000000004</v>
      </c>
    </row>
    <row r="59" spans="1:6" ht="17" thickBot="1" x14ac:dyDescent="0.25">
      <c r="A59" s="614" t="s">
        <v>430</v>
      </c>
      <c r="B59" s="615"/>
      <c r="C59" s="615"/>
      <c r="D59" s="616"/>
      <c r="E59" s="465">
        <f>E57-E58</f>
        <v>-37634.418864000007</v>
      </c>
    </row>
    <row r="60" spans="1:6" x14ac:dyDescent="0.2">
      <c r="A60" s="608" t="s">
        <v>431</v>
      </c>
      <c r="B60" s="609"/>
      <c r="C60" s="609"/>
      <c r="D60" s="610"/>
      <c r="E60" s="465">
        <f>-E59</f>
        <v>37634.418864000007</v>
      </c>
      <c r="F60" t="s">
        <v>495</v>
      </c>
    </row>
    <row r="61" spans="1:6" ht="17" thickBot="1" x14ac:dyDescent="0.25">
      <c r="A61" s="611" t="s">
        <v>432</v>
      </c>
      <c r="B61" s="612"/>
      <c r="C61" s="612"/>
      <c r="D61" s="613"/>
      <c r="E61" s="466">
        <v>0</v>
      </c>
    </row>
  </sheetData>
  <mergeCells count="11">
    <mergeCell ref="A1:E1"/>
    <mergeCell ref="A53:D53"/>
    <mergeCell ref="A54:D54"/>
    <mergeCell ref="A55:D55"/>
    <mergeCell ref="A59:D59"/>
    <mergeCell ref="A60:D60"/>
    <mergeCell ref="A61:D61"/>
    <mergeCell ref="A52:E52"/>
    <mergeCell ref="A56:D56"/>
    <mergeCell ref="A57:D57"/>
    <mergeCell ref="A58:D58"/>
  </mergeCells>
  <pageMargins left="0.7" right="0.7" top="0.75" bottom="0.75" header="0.3" footer="0.3"/>
  <ignoredErrors>
    <ignoredError sqref="C11" formulaRange="1"/>
    <ignoredError sqref="E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499A-DEF8-E549-AAC1-EAC1C12162A9}">
  <dimension ref="A1:G29"/>
  <sheetViews>
    <sheetView tabSelected="1" workbookViewId="0">
      <selection activeCell="C32" sqref="C32"/>
    </sheetView>
  </sheetViews>
  <sheetFormatPr baseColWidth="10" defaultColWidth="8.83203125" defaultRowHeight="15" x14ac:dyDescent="0.2"/>
  <cols>
    <col min="1" max="1" width="35.1640625" style="127" bestFit="1" customWidth="1"/>
    <col min="2" max="2" width="12.83203125" style="127" bestFit="1" customWidth="1"/>
    <col min="3" max="3" width="20.6640625" style="127" bestFit="1" customWidth="1"/>
    <col min="4" max="4" width="26.33203125" style="127" bestFit="1" customWidth="1"/>
    <col min="5" max="5" width="23.6640625" style="127" bestFit="1" customWidth="1"/>
    <col min="6" max="16384" width="8.83203125" style="127"/>
  </cols>
  <sheetData>
    <row r="1" spans="1:7" ht="24" thickBot="1" x14ac:dyDescent="0.35">
      <c r="A1" s="653" t="s">
        <v>680</v>
      </c>
      <c r="B1" s="652" t="s">
        <v>679</v>
      </c>
      <c r="C1" s="651"/>
      <c r="D1" s="651"/>
      <c r="E1" s="651"/>
      <c r="F1" s="651"/>
      <c r="G1" s="650"/>
    </row>
    <row r="3" spans="1:7" x14ac:dyDescent="0.2">
      <c r="A3" s="127" t="s">
        <v>574</v>
      </c>
    </row>
    <row r="5" spans="1:7" x14ac:dyDescent="0.2">
      <c r="A5" s="468" t="s">
        <v>573</v>
      </c>
      <c r="B5" s="468" t="s">
        <v>543</v>
      </c>
      <c r="C5" s="468" t="s">
        <v>542</v>
      </c>
      <c r="D5" s="468" t="s">
        <v>541</v>
      </c>
      <c r="E5" s="468" t="s">
        <v>540</v>
      </c>
    </row>
    <row r="6" spans="1:7" x14ac:dyDescent="0.2">
      <c r="A6" s="469" t="s">
        <v>572</v>
      </c>
      <c r="B6" s="469" t="s">
        <v>565</v>
      </c>
      <c r="C6" s="469" t="s">
        <v>532</v>
      </c>
      <c r="D6" s="469" t="s">
        <v>532</v>
      </c>
      <c r="E6" s="469" t="s">
        <v>571</v>
      </c>
    </row>
    <row r="7" spans="1:7" x14ac:dyDescent="0.2">
      <c r="A7" s="469" t="s">
        <v>570</v>
      </c>
      <c r="B7" s="469" t="s">
        <v>565</v>
      </c>
      <c r="C7" s="469" t="s">
        <v>532</v>
      </c>
      <c r="D7" s="469" t="s">
        <v>532</v>
      </c>
      <c r="E7" s="469" t="s">
        <v>569</v>
      </c>
    </row>
    <row r="8" spans="1:7" x14ac:dyDescent="0.2">
      <c r="A8" s="469" t="s">
        <v>568</v>
      </c>
      <c r="B8" s="469" t="s">
        <v>565</v>
      </c>
      <c r="C8" s="469" t="s">
        <v>532</v>
      </c>
      <c r="D8" s="469" t="s">
        <v>537</v>
      </c>
      <c r="E8" s="469" t="s">
        <v>567</v>
      </c>
    </row>
    <row r="9" spans="1:7" x14ac:dyDescent="0.2">
      <c r="A9" s="469" t="s">
        <v>566</v>
      </c>
      <c r="B9" s="469" t="s">
        <v>565</v>
      </c>
      <c r="C9" s="469" t="s">
        <v>532</v>
      </c>
      <c r="D9" s="469" t="s">
        <v>565</v>
      </c>
      <c r="E9" s="469" t="s">
        <v>538</v>
      </c>
    </row>
    <row r="10" spans="1:7" x14ac:dyDescent="0.2">
      <c r="A10" s="469" t="s">
        <v>564</v>
      </c>
      <c r="B10" s="469" t="s">
        <v>562</v>
      </c>
      <c r="C10" s="469" t="s">
        <v>562</v>
      </c>
      <c r="D10" s="469" t="s">
        <v>562</v>
      </c>
      <c r="E10" s="469" t="s">
        <v>562</v>
      </c>
    </row>
    <row r="11" spans="1:7" x14ac:dyDescent="0.2">
      <c r="A11" s="469" t="s">
        <v>563</v>
      </c>
      <c r="B11" s="469" t="s">
        <v>562</v>
      </c>
      <c r="C11" s="469" t="s">
        <v>562</v>
      </c>
      <c r="D11" s="469" t="s">
        <v>561</v>
      </c>
      <c r="E11" s="469" t="s">
        <v>561</v>
      </c>
    </row>
    <row r="12" spans="1:7" x14ac:dyDescent="0.2">
      <c r="A12" s="469" t="s">
        <v>560</v>
      </c>
      <c r="B12" s="469" t="s">
        <v>557</v>
      </c>
      <c r="C12" s="469" t="s">
        <v>557</v>
      </c>
      <c r="D12" s="469" t="s">
        <v>559</v>
      </c>
      <c r="E12" s="469" t="s">
        <v>559</v>
      </c>
    </row>
    <row r="13" spans="1:7" x14ac:dyDescent="0.2">
      <c r="A13" s="469" t="s">
        <v>558</v>
      </c>
      <c r="B13" s="469" t="s">
        <v>557</v>
      </c>
      <c r="C13" s="469" t="s">
        <v>557</v>
      </c>
      <c r="D13" s="469" t="s">
        <v>556</v>
      </c>
      <c r="E13" s="469" t="s">
        <v>556</v>
      </c>
    </row>
    <row r="14" spans="1:7" x14ac:dyDescent="0.2">
      <c r="A14" s="469" t="s">
        <v>555</v>
      </c>
      <c r="B14" s="469" t="s">
        <v>552</v>
      </c>
      <c r="C14" s="469" t="s">
        <v>552</v>
      </c>
      <c r="D14" s="469" t="s">
        <v>554</v>
      </c>
      <c r="E14" s="469" t="s">
        <v>554</v>
      </c>
    </row>
    <row r="15" spans="1:7" x14ac:dyDescent="0.2">
      <c r="A15" s="469" t="s">
        <v>553</v>
      </c>
      <c r="B15" s="469" t="s">
        <v>552</v>
      </c>
      <c r="C15" s="469" t="s">
        <v>552</v>
      </c>
      <c r="D15" s="469" t="s">
        <v>551</v>
      </c>
      <c r="E15" s="469" t="s">
        <v>551</v>
      </c>
    </row>
    <row r="16" spans="1:7" x14ac:dyDescent="0.2">
      <c r="A16" s="469" t="s">
        <v>413</v>
      </c>
      <c r="B16" s="469" t="s">
        <v>550</v>
      </c>
      <c r="C16" s="469" t="s">
        <v>549</v>
      </c>
      <c r="D16" s="469" t="s">
        <v>548</v>
      </c>
      <c r="E16" s="469" t="s">
        <v>547</v>
      </c>
    </row>
    <row r="17" spans="1:5" x14ac:dyDescent="0.2">
      <c r="A17" s="469" t="s">
        <v>546</v>
      </c>
      <c r="B17" s="649">
        <v>7.5899999999999995E-2</v>
      </c>
      <c r="C17" s="649">
        <v>7.5899999999999995E-2</v>
      </c>
      <c r="D17" s="649">
        <v>7.5899999999999995E-2</v>
      </c>
      <c r="E17" s="649">
        <v>7.5899999999999995E-2</v>
      </c>
    </row>
    <row r="19" spans="1:5" x14ac:dyDescent="0.2">
      <c r="A19" s="127" t="s">
        <v>545</v>
      </c>
    </row>
    <row r="20" spans="1:5" x14ac:dyDescent="0.2">
      <c r="A20" s="468" t="s">
        <v>544</v>
      </c>
      <c r="B20" s="468" t="s">
        <v>543</v>
      </c>
      <c r="C20" s="468" t="s">
        <v>542</v>
      </c>
      <c r="D20" s="468" t="s">
        <v>541</v>
      </c>
      <c r="E20" s="468" t="s">
        <v>540</v>
      </c>
    </row>
    <row r="21" spans="1:5" x14ac:dyDescent="0.2">
      <c r="A21" s="467" t="s">
        <v>539</v>
      </c>
      <c r="B21" s="467" t="s">
        <v>538</v>
      </c>
      <c r="C21" s="467" t="s">
        <v>538</v>
      </c>
      <c r="D21" s="467" t="s">
        <v>537</v>
      </c>
      <c r="E21" s="467" t="s">
        <v>537</v>
      </c>
    </row>
    <row r="22" spans="1:5" x14ac:dyDescent="0.2">
      <c r="A22" s="467" t="s">
        <v>536</v>
      </c>
      <c r="B22" s="467" t="s">
        <v>535</v>
      </c>
      <c r="C22" s="467" t="s">
        <v>535</v>
      </c>
      <c r="D22" s="467" t="s">
        <v>534</v>
      </c>
      <c r="E22" s="467" t="s">
        <v>534</v>
      </c>
    </row>
    <row r="23" spans="1:5" x14ac:dyDescent="0.2">
      <c r="A23" s="467" t="s">
        <v>533</v>
      </c>
      <c r="B23" s="467" t="s">
        <v>532</v>
      </c>
      <c r="C23" s="467" t="s">
        <v>532</v>
      </c>
      <c r="D23" s="467" t="s">
        <v>531</v>
      </c>
      <c r="E23" s="467" t="s">
        <v>531</v>
      </c>
    </row>
    <row r="24" spans="1:5" x14ac:dyDescent="0.2">
      <c r="A24" s="467" t="s">
        <v>530</v>
      </c>
      <c r="B24" s="467" t="s">
        <v>529</v>
      </c>
      <c r="C24" s="467" t="s">
        <v>528</v>
      </c>
      <c r="D24" s="467" t="s">
        <v>528</v>
      </c>
      <c r="E24" s="467" t="s">
        <v>527</v>
      </c>
    </row>
    <row r="25" spans="1:5" x14ac:dyDescent="0.2">
      <c r="A25" s="467" t="s">
        <v>526</v>
      </c>
      <c r="B25" s="467" t="s">
        <v>525</v>
      </c>
      <c r="C25" s="467" t="s">
        <v>524</v>
      </c>
      <c r="D25" s="467" t="s">
        <v>523</v>
      </c>
      <c r="E25" s="467" t="s">
        <v>522</v>
      </c>
    </row>
    <row r="26" spans="1:5" x14ac:dyDescent="0.2">
      <c r="A26" s="467" t="s">
        <v>521</v>
      </c>
      <c r="B26" s="467" t="s">
        <v>520</v>
      </c>
      <c r="C26" s="467" t="s">
        <v>519</v>
      </c>
      <c r="D26" s="467" t="s">
        <v>518</v>
      </c>
      <c r="E26" s="467" t="s">
        <v>517</v>
      </c>
    </row>
    <row r="27" spans="1:5" x14ac:dyDescent="0.2">
      <c r="A27" s="467" t="s">
        <v>516</v>
      </c>
      <c r="B27" s="467" t="s">
        <v>515</v>
      </c>
      <c r="C27" s="467" t="s">
        <v>514</v>
      </c>
      <c r="D27" s="467" t="s">
        <v>513</v>
      </c>
      <c r="E27" s="467" t="s">
        <v>512</v>
      </c>
    </row>
    <row r="28" spans="1:5" x14ac:dyDescent="0.2">
      <c r="A28" s="467" t="s">
        <v>511</v>
      </c>
      <c r="B28" s="467" t="s">
        <v>510</v>
      </c>
      <c r="C28" s="467" t="s">
        <v>509</v>
      </c>
      <c r="D28" s="467" t="s">
        <v>508</v>
      </c>
      <c r="E28" s="467" t="s">
        <v>507</v>
      </c>
    </row>
    <row r="29" spans="1:5" x14ac:dyDescent="0.2">
      <c r="A29" s="467" t="s">
        <v>506</v>
      </c>
      <c r="B29" s="467" t="s">
        <v>505</v>
      </c>
      <c r="C29" s="467" t="s">
        <v>504</v>
      </c>
      <c r="D29" s="467" t="s">
        <v>503</v>
      </c>
      <c r="E29" s="467" t="s">
        <v>502</v>
      </c>
    </row>
  </sheetData>
  <mergeCells count="1">
    <mergeCell ref="B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62C9-8E70-CC45-AFFE-8BDA717B22A7}">
  <dimension ref="A1:K67"/>
  <sheetViews>
    <sheetView workbookViewId="0">
      <selection activeCell="A58" sqref="A58:B58"/>
    </sheetView>
  </sheetViews>
  <sheetFormatPr baseColWidth="10" defaultColWidth="8.83203125" defaultRowHeight="16" x14ac:dyDescent="0.2"/>
  <cols>
    <col min="1" max="2" width="22.33203125" customWidth="1"/>
    <col min="3" max="3" width="18.5" customWidth="1"/>
    <col min="4" max="4" width="16.1640625" customWidth="1"/>
    <col min="5" max="7" width="12.1640625" bestFit="1" customWidth="1"/>
    <col min="8" max="8" width="17.1640625" customWidth="1"/>
    <col min="9" max="9" width="17.6640625" customWidth="1"/>
    <col min="10" max="10" width="10.1640625" bestFit="1" customWidth="1"/>
    <col min="11" max="11" width="12.1640625" bestFit="1" customWidth="1"/>
  </cols>
  <sheetData>
    <row r="1" spans="1:9" ht="24" x14ac:dyDescent="0.3">
      <c r="A1" s="522" t="s">
        <v>648</v>
      </c>
      <c r="B1" s="519" t="s">
        <v>647</v>
      </c>
      <c r="C1" s="521" t="s">
        <v>646</v>
      </c>
      <c r="D1" s="520"/>
      <c r="E1" s="519"/>
      <c r="F1" s="519" t="s">
        <v>645</v>
      </c>
      <c r="G1" s="519"/>
      <c r="H1" s="519"/>
      <c r="I1" s="518"/>
    </row>
    <row r="2" spans="1:9" ht="20" thickBot="1" x14ac:dyDescent="0.3">
      <c r="A2" s="517" t="s">
        <v>644</v>
      </c>
      <c r="B2" s="571"/>
      <c r="C2" s="573"/>
      <c r="D2" s="572"/>
      <c r="E2" s="571"/>
      <c r="F2" s="571"/>
      <c r="G2" s="571"/>
      <c r="H2" s="571"/>
      <c r="I2" s="570"/>
    </row>
    <row r="3" spans="1:9" x14ac:dyDescent="0.2">
      <c r="A3" s="569" t="s">
        <v>643</v>
      </c>
      <c r="B3" s="569">
        <v>2021</v>
      </c>
      <c r="C3" s="569">
        <v>2022</v>
      </c>
      <c r="D3" s="569">
        <v>2023</v>
      </c>
      <c r="E3" s="569">
        <v>2024</v>
      </c>
      <c r="F3" s="569">
        <v>2025</v>
      </c>
      <c r="G3" s="569">
        <v>2026</v>
      </c>
      <c r="H3" s="569">
        <v>2027</v>
      </c>
      <c r="I3" s="569">
        <v>2028</v>
      </c>
    </row>
    <row r="4" spans="1:9" x14ac:dyDescent="0.2">
      <c r="A4" s="568" t="s">
        <v>642</v>
      </c>
      <c r="B4" s="567">
        <v>0.05</v>
      </c>
      <c r="C4" s="567">
        <v>0.1</v>
      </c>
      <c r="D4" s="567">
        <v>0.04</v>
      </c>
      <c r="E4" s="567">
        <v>0.1</v>
      </c>
      <c r="F4" s="567">
        <v>0.08</v>
      </c>
      <c r="G4" s="567">
        <v>7.0000000000000007E-2</v>
      </c>
      <c r="H4" s="567">
        <v>0.05</v>
      </c>
      <c r="I4" s="567">
        <v>0.05</v>
      </c>
    </row>
    <row r="5" spans="1:9" x14ac:dyDescent="0.2">
      <c r="A5" s="568" t="s">
        <v>641</v>
      </c>
      <c r="B5" s="567">
        <v>0.76</v>
      </c>
      <c r="C5" s="567">
        <v>0.77</v>
      </c>
      <c r="D5" s="567">
        <v>0.78</v>
      </c>
      <c r="E5" s="567">
        <v>0.78</v>
      </c>
      <c r="F5" s="567">
        <v>0.78</v>
      </c>
      <c r="G5" s="567">
        <v>0.78</v>
      </c>
      <c r="H5" s="567">
        <v>0.78</v>
      </c>
      <c r="I5" s="567">
        <v>0.78</v>
      </c>
    </row>
    <row r="6" spans="1:9" x14ac:dyDescent="0.2">
      <c r="A6" s="568" t="s">
        <v>640</v>
      </c>
      <c r="B6" s="567">
        <v>0.09</v>
      </c>
      <c r="C6" s="567">
        <v>0.1</v>
      </c>
      <c r="D6" s="567">
        <v>0.1</v>
      </c>
      <c r="E6" s="567">
        <v>0.1</v>
      </c>
      <c r="F6" s="567">
        <v>0.1</v>
      </c>
      <c r="G6" s="567">
        <v>0.1</v>
      </c>
      <c r="H6" s="567">
        <v>0.1</v>
      </c>
      <c r="I6" s="566">
        <v>0.1</v>
      </c>
    </row>
    <row r="7" spans="1:9" x14ac:dyDescent="0.2">
      <c r="A7" s="568" t="s">
        <v>639</v>
      </c>
      <c r="B7" s="567">
        <v>0.1</v>
      </c>
      <c r="C7" s="567">
        <v>0.1</v>
      </c>
      <c r="D7" s="567">
        <v>0.1</v>
      </c>
      <c r="E7" s="567">
        <v>0.1</v>
      </c>
      <c r="F7" s="567">
        <v>0.1</v>
      </c>
      <c r="G7" s="567">
        <v>0.1</v>
      </c>
      <c r="H7" s="567">
        <v>0.1</v>
      </c>
      <c r="I7" s="566">
        <v>0.1</v>
      </c>
    </row>
    <row r="8" spans="1:9" x14ac:dyDescent="0.2">
      <c r="A8" s="568" t="s">
        <v>638</v>
      </c>
      <c r="B8" s="567">
        <v>0.01</v>
      </c>
      <c r="C8" s="567">
        <v>0.02</v>
      </c>
      <c r="D8" s="567">
        <v>0.02</v>
      </c>
      <c r="E8" s="567">
        <v>0.02</v>
      </c>
      <c r="F8" s="567">
        <v>0.02</v>
      </c>
      <c r="G8" s="567">
        <v>0.02</v>
      </c>
      <c r="H8" s="567">
        <v>0.02</v>
      </c>
      <c r="I8" s="566">
        <v>0.02</v>
      </c>
    </row>
    <row r="9" spans="1:9" x14ac:dyDescent="0.2">
      <c r="A9" s="568" t="s">
        <v>637</v>
      </c>
      <c r="B9" s="567">
        <v>0.08</v>
      </c>
      <c r="C9" s="567">
        <v>0.08</v>
      </c>
      <c r="D9" s="567">
        <v>0.1</v>
      </c>
      <c r="E9" s="567">
        <v>0.1</v>
      </c>
      <c r="F9" s="567">
        <v>0.1</v>
      </c>
      <c r="G9" s="567">
        <v>0.1</v>
      </c>
      <c r="H9" s="567">
        <v>0.1</v>
      </c>
      <c r="I9" s="566">
        <v>0.1</v>
      </c>
    </row>
    <row r="10" spans="1:9" x14ac:dyDescent="0.2">
      <c r="A10" s="568" t="s">
        <v>636</v>
      </c>
      <c r="B10" s="567">
        <v>0.15</v>
      </c>
      <c r="C10" s="567">
        <v>0.16</v>
      </c>
      <c r="D10" s="567">
        <v>0.2</v>
      </c>
      <c r="E10" s="567">
        <v>0.2</v>
      </c>
      <c r="F10" s="567">
        <v>0.2</v>
      </c>
      <c r="G10" s="567">
        <v>0.2</v>
      </c>
      <c r="H10" s="567">
        <v>0.2</v>
      </c>
      <c r="I10" s="566">
        <v>0.2</v>
      </c>
    </row>
    <row r="11" spans="1:9" x14ac:dyDescent="0.2">
      <c r="A11" s="568" t="s">
        <v>635</v>
      </c>
      <c r="B11" s="567">
        <v>0.33</v>
      </c>
      <c r="C11" s="567">
        <v>0.37</v>
      </c>
      <c r="D11" s="567">
        <v>0.4</v>
      </c>
      <c r="E11" s="567">
        <v>0.4</v>
      </c>
      <c r="F11" s="567">
        <v>0.4</v>
      </c>
      <c r="G11" s="567">
        <v>0.4</v>
      </c>
      <c r="H11" s="567">
        <v>0.4</v>
      </c>
      <c r="I11" s="566">
        <v>0.4</v>
      </c>
    </row>
    <row r="12" spans="1:9" x14ac:dyDescent="0.2">
      <c r="A12" s="568" t="s">
        <v>634</v>
      </c>
      <c r="B12" s="567">
        <v>0.04</v>
      </c>
      <c r="C12" s="567">
        <v>0.04</v>
      </c>
      <c r="D12" s="567">
        <v>0.04</v>
      </c>
      <c r="E12" s="567">
        <v>0.04</v>
      </c>
      <c r="F12" s="567">
        <v>0.04</v>
      </c>
      <c r="G12" s="567">
        <v>0.04</v>
      </c>
      <c r="H12" s="567">
        <v>0.04</v>
      </c>
      <c r="I12" s="566">
        <v>0.04</v>
      </c>
    </row>
    <row r="13" spans="1:9" x14ac:dyDescent="0.2">
      <c r="A13" s="568" t="s">
        <v>633</v>
      </c>
      <c r="B13" s="567">
        <v>7.0000000000000007E-2</v>
      </c>
      <c r="C13" s="567">
        <v>0.08</v>
      </c>
      <c r="D13" s="567">
        <v>0.08</v>
      </c>
      <c r="E13" s="567">
        <v>0.08</v>
      </c>
      <c r="F13" s="567">
        <v>0.08</v>
      </c>
      <c r="G13" s="567">
        <v>0.08</v>
      </c>
      <c r="H13" s="567">
        <v>0.08</v>
      </c>
      <c r="I13" s="566">
        <v>0.08</v>
      </c>
    </row>
    <row r="14" spans="1:9" x14ac:dyDescent="0.2">
      <c r="A14" s="568" t="s">
        <v>632</v>
      </c>
      <c r="B14" s="567">
        <v>0.25</v>
      </c>
      <c r="C14" s="567">
        <v>0.25</v>
      </c>
      <c r="D14" s="567">
        <v>0.25</v>
      </c>
      <c r="E14" s="567">
        <v>0.25</v>
      </c>
      <c r="F14" s="567">
        <v>0.25</v>
      </c>
      <c r="G14" s="567">
        <v>0.25</v>
      </c>
      <c r="H14" s="567">
        <v>0.25</v>
      </c>
      <c r="I14" s="566">
        <v>0.25</v>
      </c>
    </row>
    <row r="15" spans="1:9" ht="17" thickBot="1" x14ac:dyDescent="0.25">
      <c r="A15" s="565" t="s">
        <v>631</v>
      </c>
      <c r="B15" s="565" t="s">
        <v>630</v>
      </c>
      <c r="C15" s="565" t="s">
        <v>630</v>
      </c>
      <c r="D15" s="565" t="s">
        <v>630</v>
      </c>
      <c r="E15" s="565">
        <v>0</v>
      </c>
      <c r="F15" s="565">
        <v>0</v>
      </c>
      <c r="G15" s="565">
        <v>0</v>
      </c>
      <c r="H15" s="565">
        <v>0</v>
      </c>
      <c r="I15" s="564">
        <v>0</v>
      </c>
    </row>
    <row r="17" spans="1:9" ht="20" thickBot="1" x14ac:dyDescent="0.3">
      <c r="A17" s="563" t="s">
        <v>629</v>
      </c>
      <c r="B17" s="561"/>
      <c r="C17" s="562"/>
      <c r="D17" s="561"/>
      <c r="E17" s="561"/>
      <c r="F17" s="561"/>
      <c r="G17" s="561"/>
      <c r="H17" s="561"/>
      <c r="I17" s="561"/>
    </row>
    <row r="18" spans="1:9" x14ac:dyDescent="0.2">
      <c r="A18" s="501"/>
      <c r="B18" s="500"/>
      <c r="C18" s="500" t="s">
        <v>628</v>
      </c>
      <c r="D18" s="500"/>
      <c r="E18" s="500"/>
      <c r="F18" s="500" t="s">
        <v>403</v>
      </c>
      <c r="G18" s="500"/>
      <c r="H18" s="500"/>
      <c r="I18" s="499"/>
    </row>
    <row r="19" spans="1:9" x14ac:dyDescent="0.2">
      <c r="A19" s="560" t="s">
        <v>627</v>
      </c>
      <c r="B19" s="558"/>
      <c r="C19" s="558"/>
      <c r="D19" s="558">
        <v>2023</v>
      </c>
      <c r="E19" s="558">
        <v>2024</v>
      </c>
      <c r="F19" s="558">
        <v>2025</v>
      </c>
      <c r="G19" s="558">
        <v>2026</v>
      </c>
      <c r="H19" s="558">
        <v>2027</v>
      </c>
      <c r="I19" s="559">
        <v>2028</v>
      </c>
    </row>
    <row r="20" spans="1:9" x14ac:dyDescent="0.2">
      <c r="A20" s="482" t="s">
        <v>127</v>
      </c>
      <c r="B20" s="473"/>
      <c r="C20" s="473"/>
      <c r="D20" s="494">
        <v>107412</v>
      </c>
      <c r="E20" s="472">
        <f>D20*E4+D20</f>
        <v>118153.2</v>
      </c>
      <c r="F20" s="472">
        <f>E20*F4+E20</f>
        <v>127605.45599999999</v>
      </c>
      <c r="G20" s="472">
        <f>F20*G4+F20</f>
        <v>136537.83791999999</v>
      </c>
      <c r="H20" s="472">
        <f>G20*H4+G20</f>
        <v>143364.72981599998</v>
      </c>
      <c r="I20" s="491">
        <f>H20*I4+H20</f>
        <v>150532.96630679996</v>
      </c>
    </row>
    <row r="21" spans="1:9" ht="17" thickBot="1" x14ac:dyDescent="0.25">
      <c r="A21" s="479"/>
      <c r="B21" s="478"/>
      <c r="C21" s="478"/>
      <c r="D21" s="478"/>
      <c r="E21" s="478"/>
      <c r="F21" s="478"/>
      <c r="G21" s="478"/>
      <c r="H21" s="478"/>
      <c r="I21" s="502"/>
    </row>
    <row r="22" spans="1:9" x14ac:dyDescent="0.2">
      <c r="A22" s="501" t="s">
        <v>626</v>
      </c>
      <c r="B22" s="500"/>
      <c r="C22" s="500"/>
      <c r="D22" s="500"/>
      <c r="E22" s="500"/>
      <c r="F22" s="500"/>
      <c r="G22" s="500"/>
      <c r="H22" s="500"/>
      <c r="I22" s="499"/>
    </row>
    <row r="23" spans="1:9" x14ac:dyDescent="0.2">
      <c r="A23" s="482" t="s">
        <v>385</v>
      </c>
      <c r="B23" s="473"/>
      <c r="C23" s="473"/>
      <c r="D23" s="494">
        <f>D20*D8</f>
        <v>2148.2400000000002</v>
      </c>
      <c r="E23" s="494">
        <f>E20*E8</f>
        <v>2363.0639999999999</v>
      </c>
      <c r="F23" s="472">
        <f>E23*F4+E23</f>
        <v>2552.1091200000001</v>
      </c>
      <c r="G23" s="472">
        <f>F23*G4+F23</f>
        <v>2730.7567584000003</v>
      </c>
      <c r="H23" s="472">
        <f>G23*H4+G23</f>
        <v>2867.2945963200004</v>
      </c>
      <c r="I23" s="491">
        <f>H23*I4+H23</f>
        <v>3010.6593261360003</v>
      </c>
    </row>
    <row r="24" spans="1:9" x14ac:dyDescent="0.2">
      <c r="A24" s="482" t="s">
        <v>625</v>
      </c>
      <c r="B24" s="473"/>
      <c r="C24" s="473"/>
      <c r="D24" s="494">
        <f>D20*D9</f>
        <v>10741.2</v>
      </c>
      <c r="E24" s="472">
        <f>D24*E4+D24</f>
        <v>11815.320000000002</v>
      </c>
      <c r="F24" s="472">
        <f>E24*F4+E24</f>
        <v>12760.545600000001</v>
      </c>
      <c r="G24" s="472">
        <f>F24*G4+F24</f>
        <v>13653.783792000002</v>
      </c>
      <c r="H24" s="472">
        <f>G24*H4+G24</f>
        <v>14336.472981600002</v>
      </c>
      <c r="I24" s="491">
        <f>H24*I4+H24</f>
        <v>15053.296630680003</v>
      </c>
    </row>
    <row r="25" spans="1:9" x14ac:dyDescent="0.2">
      <c r="A25" s="482" t="s">
        <v>3</v>
      </c>
      <c r="B25" s="473"/>
      <c r="C25" s="473"/>
      <c r="D25" s="494">
        <f>D20*D10</f>
        <v>21482.400000000001</v>
      </c>
      <c r="E25" s="472">
        <f>D25*E4+D25</f>
        <v>23630.640000000003</v>
      </c>
      <c r="F25" s="472">
        <f>E25*F4+E25</f>
        <v>25521.091200000003</v>
      </c>
      <c r="G25" s="472">
        <f>F25*G4+F25</f>
        <v>27307.567584000004</v>
      </c>
      <c r="H25" s="472">
        <f>G25*H4+G25</f>
        <v>28672.945963200003</v>
      </c>
      <c r="I25" s="491">
        <f>H25*I4+H25</f>
        <v>30106.593261360005</v>
      </c>
    </row>
    <row r="26" spans="1:9" x14ac:dyDescent="0.2">
      <c r="A26" s="482" t="s">
        <v>388</v>
      </c>
      <c r="B26" s="473"/>
      <c r="C26" s="473"/>
      <c r="D26" s="494">
        <f>85%*E20</f>
        <v>100430.22</v>
      </c>
      <c r="E26" s="472">
        <f>D26*E4+D26</f>
        <v>110473.242</v>
      </c>
      <c r="F26" s="472">
        <f>E26*F4+E26</f>
        <v>119311.10136</v>
      </c>
      <c r="G26" s="472">
        <f>F26*G4+F26</f>
        <v>127662.8784552</v>
      </c>
      <c r="H26" s="472">
        <f>G26*H4+G26</f>
        <v>134046.02237796001</v>
      </c>
      <c r="I26" s="491">
        <f>H26*I4+H26</f>
        <v>140748.32349685801</v>
      </c>
    </row>
    <row r="27" spans="1:9" x14ac:dyDescent="0.2">
      <c r="A27" s="482" t="s">
        <v>81</v>
      </c>
      <c r="B27" s="473"/>
      <c r="C27" s="473"/>
      <c r="D27" s="494">
        <f>D12*D20</f>
        <v>4296.4800000000005</v>
      </c>
      <c r="E27" s="472">
        <f>D27*E4+D27</f>
        <v>4726.1280000000006</v>
      </c>
      <c r="F27" s="472">
        <f>E27*F4+E27</f>
        <v>5104.2182400000011</v>
      </c>
      <c r="G27" s="472">
        <f>F27*G4+F27</f>
        <v>5461.5135168000015</v>
      </c>
      <c r="H27" s="472">
        <f>G27*H4+G27</f>
        <v>5734.5891926400018</v>
      </c>
      <c r="I27" s="491">
        <f>H27*I4+H27</f>
        <v>6021.3186522720016</v>
      </c>
    </row>
    <row r="28" spans="1:9" ht="17" thickBot="1" x14ac:dyDescent="0.25">
      <c r="A28" s="479" t="s">
        <v>624</v>
      </c>
      <c r="B28" s="478"/>
      <c r="C28" s="478"/>
      <c r="D28" s="498">
        <f>D13*D20</f>
        <v>8592.9600000000009</v>
      </c>
      <c r="E28" s="497">
        <f>D28*E4+D28</f>
        <v>9452.2560000000012</v>
      </c>
      <c r="F28" s="496">
        <f>E28*F4+E28</f>
        <v>10208.436480000002</v>
      </c>
      <c r="G28" s="496">
        <f>F28*G4+F28</f>
        <v>10923.027033600003</v>
      </c>
      <c r="H28" s="496">
        <f>G28*H4+G28</f>
        <v>11469.178385280004</v>
      </c>
      <c r="I28" s="495">
        <f>H28*I4+H28</f>
        <v>12042.637304544003</v>
      </c>
    </row>
    <row r="29" spans="1:9" ht="17" thickBot="1" x14ac:dyDescent="0.25"/>
    <row r="30" spans="1:9" x14ac:dyDescent="0.2">
      <c r="A30" s="501" t="s">
        <v>623</v>
      </c>
      <c r="B30" s="500"/>
      <c r="C30" s="500"/>
      <c r="D30" s="500"/>
      <c r="E30" s="500"/>
      <c r="F30" s="500"/>
      <c r="G30" s="500"/>
      <c r="H30" s="500"/>
      <c r="I30" s="499"/>
    </row>
    <row r="31" spans="1:9" x14ac:dyDescent="0.2">
      <c r="A31" s="482" t="s">
        <v>622</v>
      </c>
      <c r="B31" s="473"/>
      <c r="C31" s="473"/>
      <c r="D31" s="494">
        <f>D5*D20</f>
        <v>83781.36</v>
      </c>
      <c r="E31" s="472">
        <f>D31*10%+D31</f>
        <v>92159.495999999999</v>
      </c>
      <c r="F31" s="472">
        <f>E31*F4+E31</f>
        <v>99532.255680000002</v>
      </c>
      <c r="G31" s="472">
        <f>F31*G4+F31</f>
        <v>106499.51357760001</v>
      </c>
      <c r="H31" s="472">
        <f>G31*H4+G31</f>
        <v>111824.48925648001</v>
      </c>
      <c r="I31" s="491">
        <f>H31*I4+H31</f>
        <v>117415.71371930401</v>
      </c>
    </row>
    <row r="32" spans="1:9" x14ac:dyDescent="0.2">
      <c r="A32" s="482" t="s">
        <v>411</v>
      </c>
      <c r="B32" s="473"/>
      <c r="C32" s="473"/>
      <c r="D32" s="494">
        <f>D6*D26</f>
        <v>10043.022000000001</v>
      </c>
      <c r="E32" s="472">
        <f>D32*E4+D32</f>
        <v>11047.324200000001</v>
      </c>
      <c r="F32" s="472">
        <f>E32*F4+E32</f>
        <v>11931.110136000001</v>
      </c>
      <c r="G32" s="472">
        <f>F32*G4+F32</f>
        <v>12766.287845520001</v>
      </c>
      <c r="H32" s="472">
        <f>G32*H4+G32</f>
        <v>13404.602237796</v>
      </c>
      <c r="I32" s="491">
        <f>H32*I4+H32</f>
        <v>14074.832349685799</v>
      </c>
    </row>
    <row r="33" spans="1:10" x14ac:dyDescent="0.2">
      <c r="A33" s="482" t="s">
        <v>621</v>
      </c>
      <c r="B33" s="473"/>
      <c r="C33" s="473"/>
      <c r="D33" s="494">
        <f>D20*D7</f>
        <v>10741.2</v>
      </c>
      <c r="E33" s="472">
        <f>D33*E4+D33</f>
        <v>11815.320000000002</v>
      </c>
      <c r="F33" s="472">
        <f>E33*F4+E33</f>
        <v>12760.545600000001</v>
      </c>
      <c r="G33" s="472">
        <f>F33*G4+F33</f>
        <v>13653.783792000002</v>
      </c>
      <c r="H33" s="472">
        <f>G33*H4+G33</f>
        <v>14336.472981600002</v>
      </c>
      <c r="I33" s="491">
        <f>H33*I4+H33</f>
        <v>15053.296630680003</v>
      </c>
    </row>
    <row r="34" spans="1:10" x14ac:dyDescent="0.2">
      <c r="A34" s="482" t="s">
        <v>620</v>
      </c>
      <c r="B34" s="473"/>
      <c r="C34" s="473"/>
      <c r="D34" s="473">
        <v>0</v>
      </c>
      <c r="E34" s="473">
        <v>0</v>
      </c>
      <c r="F34" s="473">
        <v>0</v>
      </c>
      <c r="G34" s="473">
        <v>0</v>
      </c>
      <c r="H34" s="473">
        <v>0</v>
      </c>
      <c r="I34" s="485">
        <v>0</v>
      </c>
    </row>
    <row r="35" spans="1:10" x14ac:dyDescent="0.2">
      <c r="A35" s="482" t="s">
        <v>414</v>
      </c>
      <c r="B35" s="473"/>
      <c r="C35" s="473"/>
      <c r="D35" s="492">
        <f>D20-D31-D32-D33</f>
        <v>2846.4179999999978</v>
      </c>
      <c r="E35" s="472">
        <f t="shared" ref="E35:I36" si="0">D35*E4+D35</f>
        <v>3131.0597999999977</v>
      </c>
      <c r="F35" s="472">
        <f t="shared" si="0"/>
        <v>3381.5445839999975</v>
      </c>
      <c r="G35" s="472">
        <f t="shared" si="0"/>
        <v>3618.2527048799975</v>
      </c>
      <c r="H35" s="472">
        <f t="shared" si="0"/>
        <v>3799.1653401239973</v>
      </c>
      <c r="I35" s="491">
        <f t="shared" si="0"/>
        <v>3989.1236071301973</v>
      </c>
    </row>
    <row r="36" spans="1:10" ht="17" thickBot="1" x14ac:dyDescent="0.25">
      <c r="A36" s="479" t="s">
        <v>619</v>
      </c>
      <c r="B36" s="478"/>
      <c r="C36" s="478"/>
      <c r="D36" s="490">
        <f>D35*D14</f>
        <v>711.60449999999946</v>
      </c>
      <c r="E36" s="472">
        <f t="shared" si="0"/>
        <v>1266.656009999999</v>
      </c>
      <c r="F36" s="472">
        <f t="shared" si="0"/>
        <v>2254.6476977999982</v>
      </c>
      <c r="G36" s="472">
        <f t="shared" si="0"/>
        <v>4013.272902083997</v>
      </c>
      <c r="H36" s="472">
        <f t="shared" si="0"/>
        <v>7143.6257657095148</v>
      </c>
      <c r="I36" s="472">
        <f t="shared" si="0"/>
        <v>12715.653862962936</v>
      </c>
    </row>
    <row r="37" spans="1:10" x14ac:dyDescent="0.2">
      <c r="A37" s="501" t="s">
        <v>618</v>
      </c>
      <c r="B37" s="500"/>
      <c r="C37" s="500"/>
      <c r="D37" s="500"/>
      <c r="E37" s="500"/>
      <c r="F37" s="500"/>
      <c r="G37" s="500"/>
      <c r="H37" s="500"/>
      <c r="I37" s="499"/>
    </row>
    <row r="38" spans="1:10" x14ac:dyDescent="0.2">
      <c r="A38" s="13"/>
      <c r="I38" s="11"/>
    </row>
    <row r="39" spans="1:10" x14ac:dyDescent="0.2">
      <c r="A39" s="482" t="s">
        <v>617</v>
      </c>
      <c r="B39" s="473"/>
      <c r="C39" s="473"/>
      <c r="D39" s="492">
        <f>D23+D24+D25-D27+D28</f>
        <v>38668.320000000007</v>
      </c>
      <c r="E39" s="493">
        <f>D39*E4+D39</f>
        <v>42535.152000000009</v>
      </c>
      <c r="F39" s="472">
        <f>E39*F4+E39</f>
        <v>45937.96416000001</v>
      </c>
      <c r="G39" s="472">
        <f>F39*G4+F39</f>
        <v>49153.62165120001</v>
      </c>
      <c r="H39" s="472">
        <f>G39*H4+G39</f>
        <v>51611.302733760007</v>
      </c>
      <c r="I39" s="491">
        <f>H39*I4+H39</f>
        <v>54191.867870448004</v>
      </c>
    </row>
    <row r="40" spans="1:10" x14ac:dyDescent="0.2">
      <c r="A40" s="482" t="s">
        <v>616</v>
      </c>
      <c r="B40" s="473"/>
      <c r="C40" s="473"/>
      <c r="D40" s="492">
        <f>D24+D25-D27</f>
        <v>27927.120000000003</v>
      </c>
      <c r="E40" s="472">
        <f>D40*E4+D40</f>
        <v>30719.832000000002</v>
      </c>
      <c r="F40" s="472">
        <f>E40*F4+E40</f>
        <v>33177.418560000006</v>
      </c>
      <c r="G40" s="472">
        <f>F40*G4+F40</f>
        <v>35499.837859200008</v>
      </c>
      <c r="H40" s="472">
        <f>G40*H4+G40</f>
        <v>37274.829752160011</v>
      </c>
      <c r="I40" s="491">
        <f>H40*I4+H40</f>
        <v>39138.571239768011</v>
      </c>
    </row>
    <row r="41" spans="1:10" ht="17" thickBot="1" x14ac:dyDescent="0.25">
      <c r="A41" s="479" t="s">
        <v>615</v>
      </c>
      <c r="B41" s="478"/>
      <c r="C41" s="477"/>
      <c r="D41" s="490">
        <f t="shared" ref="D41:I41" si="1">D39-J42</f>
        <v>35875.608000000007</v>
      </c>
      <c r="E41" s="490">
        <f t="shared" si="1"/>
        <v>42535.152000000009</v>
      </c>
      <c r="F41" s="490">
        <f t="shared" si="1"/>
        <v>45937.96416000001</v>
      </c>
      <c r="G41" s="490">
        <f t="shared" si="1"/>
        <v>49153.62165120001</v>
      </c>
      <c r="H41" s="490">
        <f t="shared" si="1"/>
        <v>51611.302733760007</v>
      </c>
      <c r="I41" s="489">
        <f t="shared" si="1"/>
        <v>54191.867870448004</v>
      </c>
      <c r="J41" t="s">
        <v>614</v>
      </c>
    </row>
    <row r="42" spans="1:10" x14ac:dyDescent="0.2">
      <c r="J42" s="186">
        <f>E40-D40</f>
        <v>2792.7119999999995</v>
      </c>
    </row>
    <row r="43" spans="1:10" x14ac:dyDescent="0.2">
      <c r="A43" s="558" t="s">
        <v>613</v>
      </c>
      <c r="B43" s="558"/>
      <c r="C43" s="558"/>
      <c r="D43" s="558"/>
      <c r="E43" s="558"/>
      <c r="F43" s="558"/>
      <c r="G43" s="558"/>
      <c r="H43" s="558"/>
      <c r="I43" s="558"/>
    </row>
    <row r="45" spans="1:10" x14ac:dyDescent="0.2">
      <c r="A45" s="473" t="s">
        <v>612</v>
      </c>
      <c r="B45" s="473"/>
      <c r="C45" s="473"/>
      <c r="D45" s="473"/>
      <c r="E45" s="484">
        <v>0.115</v>
      </c>
      <c r="F45" s="484">
        <v>0.115</v>
      </c>
      <c r="G45" s="484">
        <v>0.115</v>
      </c>
      <c r="H45" s="484">
        <v>0.115</v>
      </c>
      <c r="I45" s="484">
        <v>0.115</v>
      </c>
    </row>
    <row r="46" spans="1:10" x14ac:dyDescent="0.2">
      <c r="A46" s="473" t="s">
        <v>611</v>
      </c>
      <c r="B46" s="473"/>
      <c r="C46" s="473"/>
      <c r="D46" s="481">
        <v>0.06</v>
      </c>
      <c r="E46" s="481">
        <v>0.06</v>
      </c>
      <c r="F46" s="481">
        <v>0.06</v>
      </c>
      <c r="G46" s="481">
        <v>0.06</v>
      </c>
      <c r="H46" s="481">
        <v>0.06</v>
      </c>
      <c r="I46" s="481">
        <v>0.06</v>
      </c>
    </row>
    <row r="47" spans="1:10" x14ac:dyDescent="0.2">
      <c r="A47" s="473" t="s">
        <v>610</v>
      </c>
      <c r="B47" s="473"/>
      <c r="C47" s="473"/>
      <c r="D47" s="481">
        <v>0.61</v>
      </c>
      <c r="E47" s="481">
        <v>0.6</v>
      </c>
      <c r="F47" s="481">
        <v>0.6</v>
      </c>
      <c r="G47" s="481">
        <v>0.6</v>
      </c>
      <c r="H47" s="481">
        <v>0.6</v>
      </c>
      <c r="I47" s="481">
        <v>0.6</v>
      </c>
    </row>
    <row r="48" spans="1:10" x14ac:dyDescent="0.2">
      <c r="A48" s="473" t="s">
        <v>609</v>
      </c>
      <c r="B48" s="473"/>
      <c r="C48" s="473"/>
      <c r="D48" s="481">
        <v>0.1</v>
      </c>
      <c r="E48" s="481">
        <v>0.1</v>
      </c>
      <c r="F48" s="481">
        <v>0.1</v>
      </c>
      <c r="G48" s="481">
        <v>0.1</v>
      </c>
      <c r="H48" s="481">
        <v>0.1</v>
      </c>
      <c r="I48" s="481">
        <v>0.1</v>
      </c>
    </row>
    <row r="49" spans="1:11" x14ac:dyDescent="0.2">
      <c r="A49" s="473" t="s">
        <v>128</v>
      </c>
      <c r="B49" s="473"/>
      <c r="C49" s="473"/>
      <c r="D49" s="473"/>
      <c r="E49" s="473"/>
      <c r="F49" s="481">
        <v>2.08</v>
      </c>
      <c r="G49" s="481">
        <v>0.42700000000000005</v>
      </c>
      <c r="H49" s="484">
        <v>0.59099999999999997</v>
      </c>
      <c r="I49" s="481">
        <v>0.05</v>
      </c>
    </row>
    <row r="52" spans="1:11" ht="22" x14ac:dyDescent="0.3">
      <c r="A52" s="474" t="s">
        <v>608</v>
      </c>
      <c r="B52" s="557"/>
    </row>
    <row r="54" spans="1:11" x14ac:dyDescent="0.2">
      <c r="A54" s="473" t="s">
        <v>607</v>
      </c>
      <c r="B54" s="472">
        <f>I41*(1+I4)/(I45-I4)</f>
        <v>875407.09636877547</v>
      </c>
    </row>
    <row r="56" spans="1:11" x14ac:dyDescent="0.2">
      <c r="A56" s="473" t="s">
        <v>606</v>
      </c>
      <c r="B56" s="472">
        <f>K56+K59</f>
        <v>539412.85763172957</v>
      </c>
      <c r="J56" t="s">
        <v>605</v>
      </c>
      <c r="K56" s="186">
        <f>B54/(1+I45)^5</f>
        <v>507967.26503436419</v>
      </c>
    </row>
    <row r="58" spans="1:11" x14ac:dyDescent="0.2">
      <c r="A58" s="473" t="s">
        <v>604</v>
      </c>
      <c r="B58" s="472">
        <f>B56-K61-K63</f>
        <v>523226.85763172957</v>
      </c>
    </row>
    <row r="59" spans="1:11" x14ac:dyDescent="0.2">
      <c r="B59" s="471">
        <f>B58/4610</f>
        <v>113.49823375959427</v>
      </c>
      <c r="J59" t="s">
        <v>603</v>
      </c>
      <c r="K59" s="186">
        <f>I41/(1+I45)^5</f>
        <v>31445.592597365405</v>
      </c>
    </row>
    <row r="61" spans="1:11" x14ac:dyDescent="0.2">
      <c r="J61" t="s">
        <v>602</v>
      </c>
      <c r="K61" s="186">
        <v>16038</v>
      </c>
    </row>
    <row r="63" spans="1:11" x14ac:dyDescent="0.2">
      <c r="J63" t="s">
        <v>601</v>
      </c>
      <c r="K63" s="186">
        <v>148</v>
      </c>
    </row>
    <row r="65" spans="10:11" ht="19" x14ac:dyDescent="0.25">
      <c r="K65" s="470"/>
    </row>
    <row r="67" spans="10:11" x14ac:dyDescent="0.2">
      <c r="J67" t="s">
        <v>600</v>
      </c>
      <c r="K67" s="186">
        <v>461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BBF5-39D0-704B-899F-390B61B4FDD3}">
  <dimension ref="A1:I32"/>
  <sheetViews>
    <sheetView zoomScale="106" workbookViewId="0">
      <selection activeCell="C32" sqref="C32:I32"/>
    </sheetView>
  </sheetViews>
  <sheetFormatPr baseColWidth="10" defaultColWidth="14.83203125" defaultRowHeight="16" x14ac:dyDescent="0.2"/>
  <cols>
    <col min="1" max="1" width="39.1640625" bestFit="1" customWidth="1"/>
    <col min="2" max="2" width="13.1640625" bestFit="1" customWidth="1"/>
    <col min="5" max="5" width="14.83203125" bestFit="1" customWidth="1"/>
  </cols>
  <sheetData>
    <row r="1" spans="1:9" ht="20" x14ac:dyDescent="0.2">
      <c r="A1" s="620" t="s">
        <v>676</v>
      </c>
      <c r="B1" s="620"/>
      <c r="C1" s="620"/>
      <c r="D1" s="620"/>
      <c r="E1" s="620"/>
    </row>
    <row r="2" spans="1:9" ht="38" thickBot="1" x14ac:dyDescent="0.4">
      <c r="A2" s="556"/>
    </row>
    <row r="3" spans="1:9" x14ac:dyDescent="0.2">
      <c r="A3" s="555" t="s">
        <v>164</v>
      </c>
      <c r="B3" s="633" t="s">
        <v>647</v>
      </c>
      <c r="C3" s="635" t="s">
        <v>678</v>
      </c>
      <c r="D3" s="636"/>
      <c r="E3" s="635" t="s">
        <v>677</v>
      </c>
      <c r="F3" s="639"/>
      <c r="G3" s="639"/>
      <c r="H3" s="639"/>
      <c r="I3" s="640"/>
    </row>
    <row r="4" spans="1:9" x14ac:dyDescent="0.2">
      <c r="A4" s="554" t="s">
        <v>278</v>
      </c>
      <c r="B4" s="634"/>
      <c r="C4" s="637"/>
      <c r="D4" s="638"/>
      <c r="E4" s="637"/>
      <c r="F4" s="641"/>
      <c r="G4" s="641"/>
      <c r="H4" s="641"/>
      <c r="I4" s="642"/>
    </row>
    <row r="5" spans="1:9" x14ac:dyDescent="0.2">
      <c r="A5" s="553" t="s">
        <v>673</v>
      </c>
      <c r="B5" s="527">
        <v>2021</v>
      </c>
      <c r="C5" s="527">
        <v>2022</v>
      </c>
      <c r="D5" s="528">
        <v>2023</v>
      </c>
      <c r="E5" s="527">
        <v>2024</v>
      </c>
      <c r="F5" s="526">
        <v>2025</v>
      </c>
      <c r="G5" s="526">
        <v>2026</v>
      </c>
      <c r="H5" s="526">
        <v>2027</v>
      </c>
      <c r="I5" s="525">
        <v>2028</v>
      </c>
    </row>
    <row r="6" spans="1:9" x14ac:dyDescent="0.2">
      <c r="A6" s="546" t="s">
        <v>672</v>
      </c>
      <c r="B6" s="357">
        <v>0.05</v>
      </c>
      <c r="C6" s="545">
        <v>0.1</v>
      </c>
      <c r="D6" s="544">
        <v>4.2000000000000003E-2</v>
      </c>
      <c r="E6" s="545">
        <v>0.1</v>
      </c>
      <c r="F6" s="357">
        <v>0.08</v>
      </c>
      <c r="G6" s="357">
        <v>7.0000000000000007E-2</v>
      </c>
      <c r="H6" s="357">
        <v>0.05</v>
      </c>
      <c r="I6" s="552">
        <v>0.05</v>
      </c>
    </row>
    <row r="7" spans="1:9" x14ac:dyDescent="0.2">
      <c r="A7" s="546" t="s">
        <v>671</v>
      </c>
      <c r="B7" s="357">
        <v>0.76</v>
      </c>
      <c r="C7" s="547">
        <v>0.77300000000000002</v>
      </c>
      <c r="D7" s="551">
        <v>0.78</v>
      </c>
      <c r="E7" s="551">
        <v>0.78</v>
      </c>
      <c r="F7" s="551">
        <v>0.78</v>
      </c>
      <c r="G7" s="551">
        <v>0.78</v>
      </c>
      <c r="H7" s="551">
        <v>0.78</v>
      </c>
      <c r="I7" s="551">
        <v>0.78</v>
      </c>
    </row>
    <row r="8" spans="1:9" x14ac:dyDescent="0.2">
      <c r="A8" s="546" t="s">
        <v>670</v>
      </c>
      <c r="B8" s="357">
        <v>0.09</v>
      </c>
      <c r="C8" s="547">
        <v>0.10100000000000001</v>
      </c>
      <c r="D8" s="551">
        <v>0.1</v>
      </c>
      <c r="E8" s="551">
        <v>0.1</v>
      </c>
      <c r="F8" s="551">
        <v>0.1</v>
      </c>
      <c r="G8" s="551">
        <v>0.1</v>
      </c>
      <c r="H8" s="551">
        <v>0.1</v>
      </c>
      <c r="I8" s="551">
        <v>0.1</v>
      </c>
    </row>
    <row r="9" spans="1:9" x14ac:dyDescent="0.2">
      <c r="A9" s="546" t="s">
        <v>669</v>
      </c>
      <c r="B9" s="357">
        <v>0.1</v>
      </c>
      <c r="C9" s="547">
        <v>9.8000000000000004E-2</v>
      </c>
      <c r="D9" s="551">
        <v>0.1</v>
      </c>
      <c r="E9" s="551">
        <v>0.1</v>
      </c>
      <c r="F9" s="551">
        <v>0.1</v>
      </c>
      <c r="G9" s="551">
        <v>0.1</v>
      </c>
      <c r="H9" s="551">
        <v>0.1</v>
      </c>
      <c r="I9" s="551">
        <v>0.1</v>
      </c>
    </row>
    <row r="10" spans="1:9" x14ac:dyDescent="0.2">
      <c r="A10" s="546" t="s">
        <v>638</v>
      </c>
      <c r="B10" s="357">
        <v>0.01</v>
      </c>
      <c r="C10" s="547">
        <v>2.1000000000000001E-2</v>
      </c>
      <c r="D10" s="551">
        <v>0.02</v>
      </c>
      <c r="E10" s="551">
        <v>0.02</v>
      </c>
      <c r="F10" s="551">
        <v>0.02</v>
      </c>
      <c r="G10" s="551">
        <v>0.02</v>
      </c>
      <c r="H10" s="551">
        <v>0.02</v>
      </c>
      <c r="I10" s="551">
        <v>0.02</v>
      </c>
    </row>
    <row r="11" spans="1:9" x14ac:dyDescent="0.2">
      <c r="A11" s="546" t="s">
        <v>668</v>
      </c>
      <c r="B11" s="357">
        <v>0.08</v>
      </c>
      <c r="C11" s="545">
        <v>0.08</v>
      </c>
      <c r="D11" s="551">
        <v>0.1</v>
      </c>
      <c r="E11" s="551">
        <v>0.1</v>
      </c>
      <c r="F11" s="551">
        <v>0.1</v>
      </c>
      <c r="G11" s="551">
        <v>0.1</v>
      </c>
      <c r="H11" s="551">
        <v>0.1</v>
      </c>
      <c r="I11" s="551">
        <v>0.1</v>
      </c>
    </row>
    <row r="12" spans="1:9" x14ac:dyDescent="0.2">
      <c r="A12" s="546" t="s">
        <v>636</v>
      </c>
      <c r="B12" s="357">
        <v>0.15</v>
      </c>
      <c r="C12" s="547">
        <v>0.161</v>
      </c>
      <c r="D12" s="551">
        <v>0.2</v>
      </c>
      <c r="E12" s="551">
        <v>0.2</v>
      </c>
      <c r="F12" s="551">
        <v>0.2</v>
      </c>
      <c r="G12" s="551">
        <v>0.2</v>
      </c>
      <c r="H12" s="551">
        <v>0.2</v>
      </c>
      <c r="I12" s="551">
        <v>0.2</v>
      </c>
    </row>
    <row r="13" spans="1:9" x14ac:dyDescent="0.2">
      <c r="A13" s="546" t="s">
        <v>635</v>
      </c>
      <c r="B13" s="357">
        <v>0.33</v>
      </c>
      <c r="C13" s="547">
        <v>0.371</v>
      </c>
      <c r="D13" s="551">
        <v>0.4</v>
      </c>
      <c r="E13" s="551">
        <v>0.4</v>
      </c>
      <c r="F13" s="551">
        <v>0.4</v>
      </c>
      <c r="G13" s="551">
        <v>0.4</v>
      </c>
      <c r="H13" s="551">
        <v>0.4</v>
      </c>
      <c r="I13" s="551">
        <v>0.4</v>
      </c>
    </row>
    <row r="14" spans="1:9" x14ac:dyDescent="0.2">
      <c r="A14" s="546" t="s">
        <v>667</v>
      </c>
      <c r="B14" s="357">
        <v>0.04</v>
      </c>
      <c r="C14" s="547">
        <v>3.7999999999999999E-2</v>
      </c>
      <c r="D14" s="357">
        <v>0.04</v>
      </c>
      <c r="E14" s="357">
        <v>0.04</v>
      </c>
      <c r="F14" s="357">
        <v>0.04</v>
      </c>
      <c r="G14" s="357">
        <v>0.04</v>
      </c>
      <c r="H14" s="357">
        <v>0.04</v>
      </c>
      <c r="I14" s="357">
        <v>0.04</v>
      </c>
    </row>
    <row r="15" spans="1:9" x14ac:dyDescent="0.2">
      <c r="A15" s="546" t="s">
        <v>633</v>
      </c>
      <c r="B15" s="357">
        <v>7.0000000000000007E-2</v>
      </c>
      <c r="C15" s="547">
        <v>7.6999999999999999E-2</v>
      </c>
      <c r="D15" s="551">
        <v>0.08</v>
      </c>
      <c r="E15" s="551">
        <v>0.08</v>
      </c>
      <c r="F15" s="551">
        <v>0.08</v>
      </c>
      <c r="G15" s="551">
        <v>0.08</v>
      </c>
      <c r="H15" s="551">
        <v>0.08</v>
      </c>
      <c r="I15" s="551">
        <v>0.08</v>
      </c>
    </row>
    <row r="16" spans="1:9" x14ac:dyDescent="0.2">
      <c r="A16" s="546" t="s">
        <v>632</v>
      </c>
      <c r="B16" s="357">
        <v>0.25</v>
      </c>
      <c r="C16" s="357">
        <v>0.25</v>
      </c>
      <c r="D16" s="357">
        <v>0.25</v>
      </c>
      <c r="E16" s="357">
        <v>0.25</v>
      </c>
      <c r="F16" s="357">
        <v>0.25</v>
      </c>
      <c r="G16" s="357">
        <v>0.25</v>
      </c>
      <c r="H16" s="357">
        <v>0.25</v>
      </c>
      <c r="I16" s="357">
        <v>0.25</v>
      </c>
    </row>
    <row r="17" spans="1:9" x14ac:dyDescent="0.2">
      <c r="A17" s="543" t="s">
        <v>413</v>
      </c>
      <c r="B17" t="s">
        <v>630</v>
      </c>
      <c r="C17" s="540" t="s">
        <v>630</v>
      </c>
      <c r="D17" s="542" t="s">
        <v>630</v>
      </c>
      <c r="E17" s="540">
        <v>0</v>
      </c>
      <c r="F17" s="196"/>
      <c r="G17" s="196">
        <v>0</v>
      </c>
      <c r="H17" s="196">
        <v>0</v>
      </c>
      <c r="I17" s="539">
        <v>0</v>
      </c>
    </row>
    <row r="18" spans="1:9" x14ac:dyDescent="0.2">
      <c r="A18" s="550" t="s">
        <v>666</v>
      </c>
      <c r="B18" s="630" t="s">
        <v>665</v>
      </c>
      <c r="C18" s="631"/>
      <c r="D18" s="643"/>
      <c r="E18" s="630" t="s">
        <v>664</v>
      </c>
      <c r="F18" s="631"/>
      <c r="G18" s="631"/>
      <c r="H18" s="631"/>
      <c r="I18" s="632"/>
    </row>
    <row r="19" spans="1:9" x14ac:dyDescent="0.2">
      <c r="A19" s="546" t="s">
        <v>663</v>
      </c>
      <c r="B19" s="534">
        <v>0.04</v>
      </c>
      <c r="C19" s="549">
        <v>8.9999999999999993E-3</v>
      </c>
      <c r="D19" s="548">
        <v>5.7000000000000002E-2</v>
      </c>
      <c r="E19" s="534">
        <v>0.04</v>
      </c>
      <c r="F19" s="534">
        <v>0.04</v>
      </c>
      <c r="G19" s="534">
        <v>0.04</v>
      </c>
      <c r="H19" s="534">
        <v>0.04</v>
      </c>
      <c r="I19" s="534">
        <v>0.04</v>
      </c>
    </row>
    <row r="20" spans="1:9" x14ac:dyDescent="0.2">
      <c r="A20" s="546" t="s">
        <v>662</v>
      </c>
      <c r="B20" s="532">
        <v>0.2</v>
      </c>
      <c r="C20" s="545">
        <v>0.11</v>
      </c>
      <c r="D20" s="544">
        <v>0.19800000000000001</v>
      </c>
      <c r="E20" s="532">
        <v>0.2</v>
      </c>
      <c r="F20" s="532">
        <v>0.2</v>
      </c>
      <c r="G20" s="532">
        <v>0.2</v>
      </c>
      <c r="H20" s="532">
        <v>0.2</v>
      </c>
      <c r="I20" s="532">
        <v>0.2</v>
      </c>
    </row>
    <row r="21" spans="1:9" x14ac:dyDescent="0.2">
      <c r="A21" s="546" t="s">
        <v>661</v>
      </c>
      <c r="B21" s="532">
        <v>0.02</v>
      </c>
      <c r="C21" s="547">
        <v>3.1E-2</v>
      </c>
      <c r="D21" s="544">
        <v>3.7999999999999999E-2</v>
      </c>
      <c r="E21" s="532">
        <v>0.02</v>
      </c>
      <c r="F21" s="532">
        <v>0.02</v>
      </c>
      <c r="G21" s="532">
        <v>0.02</v>
      </c>
      <c r="H21" s="532">
        <v>0.02</v>
      </c>
      <c r="I21" s="532">
        <v>0.02</v>
      </c>
    </row>
    <row r="22" spans="1:9" x14ac:dyDescent="0.2">
      <c r="A22" s="546" t="s">
        <v>660</v>
      </c>
      <c r="B22" s="532">
        <v>0.74</v>
      </c>
      <c r="C22" s="545">
        <v>0.85</v>
      </c>
      <c r="D22" s="544">
        <v>0.70699999999999996</v>
      </c>
      <c r="E22" s="532">
        <v>0.74</v>
      </c>
      <c r="F22" s="532">
        <v>0.74</v>
      </c>
      <c r="G22" s="532">
        <v>0.74</v>
      </c>
      <c r="H22" s="532">
        <v>0.74</v>
      </c>
      <c r="I22" s="532">
        <v>0.74</v>
      </c>
    </row>
    <row r="23" spans="1:9" x14ac:dyDescent="0.2">
      <c r="A23" s="543" t="s">
        <v>659</v>
      </c>
      <c r="B23" s="541">
        <v>0</v>
      </c>
      <c r="C23" s="540">
        <v>0</v>
      </c>
      <c r="D23" s="542">
        <v>0</v>
      </c>
      <c r="E23" s="541">
        <v>0</v>
      </c>
      <c r="F23" s="540">
        <v>0</v>
      </c>
      <c r="G23" s="196">
        <v>0</v>
      </c>
      <c r="H23" s="196">
        <v>0</v>
      </c>
      <c r="I23" s="539">
        <v>0</v>
      </c>
    </row>
    <row r="24" spans="1:9" x14ac:dyDescent="0.2">
      <c r="A24" s="538" t="s">
        <v>658</v>
      </c>
      <c r="B24" s="536"/>
      <c r="C24" s="536"/>
      <c r="D24" s="536"/>
      <c r="E24" s="536"/>
      <c r="F24" s="536"/>
      <c r="G24" s="537" t="s">
        <v>403</v>
      </c>
      <c r="H24" s="536"/>
      <c r="I24" s="535"/>
    </row>
    <row r="25" spans="1:9" x14ac:dyDescent="0.2">
      <c r="A25" s="13" t="s">
        <v>657</v>
      </c>
      <c r="E25" s="534">
        <v>0.08</v>
      </c>
      <c r="F25" s="534">
        <v>0.08</v>
      </c>
      <c r="G25" s="534">
        <v>0.08</v>
      </c>
      <c r="H25" s="534">
        <v>0.08</v>
      </c>
      <c r="I25" s="534">
        <v>0.08</v>
      </c>
    </row>
    <row r="26" spans="1:9" x14ac:dyDescent="0.2">
      <c r="A26" s="13" t="s">
        <v>656</v>
      </c>
      <c r="E26" s="532">
        <v>0.1</v>
      </c>
      <c r="F26" s="532">
        <v>0.1</v>
      </c>
      <c r="G26" s="532">
        <v>0.1</v>
      </c>
      <c r="H26" s="532">
        <v>0.1</v>
      </c>
      <c r="I26" s="532">
        <v>0.1</v>
      </c>
    </row>
    <row r="27" spans="1:9" x14ac:dyDescent="0.2">
      <c r="A27" s="13" t="s">
        <v>655</v>
      </c>
      <c r="E27" s="532">
        <v>7.0000000000000007E-2</v>
      </c>
      <c r="F27" s="532">
        <v>7.0000000000000007E-2</v>
      </c>
      <c r="G27" s="532">
        <v>7.0000000000000007E-2</v>
      </c>
      <c r="H27" s="532">
        <v>7.0000000000000007E-2</v>
      </c>
      <c r="I27" s="532">
        <v>7.0000000000000007E-2</v>
      </c>
    </row>
    <row r="28" spans="1:9" x14ac:dyDescent="0.2">
      <c r="A28" s="13" t="s">
        <v>654</v>
      </c>
      <c r="E28" s="533">
        <v>2.1000000000000001E-2</v>
      </c>
      <c r="F28" s="533">
        <v>2.1000000000000001E-2</v>
      </c>
      <c r="G28" s="533">
        <v>2.1000000000000001E-2</v>
      </c>
      <c r="H28" s="533">
        <v>2.1000000000000001E-2</v>
      </c>
      <c r="I28" s="533">
        <v>2.1000000000000001E-2</v>
      </c>
    </row>
    <row r="29" spans="1:9" x14ac:dyDescent="0.2">
      <c r="A29" s="13" t="s">
        <v>653</v>
      </c>
      <c r="E29" s="532">
        <v>0.13</v>
      </c>
      <c r="F29" s="532">
        <v>0.13</v>
      </c>
      <c r="G29" s="532">
        <v>0.13</v>
      </c>
      <c r="H29" s="532">
        <v>0.13</v>
      </c>
      <c r="I29" s="532">
        <v>0.13</v>
      </c>
    </row>
    <row r="30" spans="1:9" x14ac:dyDescent="0.2">
      <c r="A30" s="531" t="s">
        <v>652</v>
      </c>
      <c r="B30" s="196"/>
      <c r="C30" s="196"/>
      <c r="D30" s="196"/>
      <c r="E30" s="530">
        <v>1.4999999999999999E-2</v>
      </c>
      <c r="F30" s="530">
        <v>1.4999999999999999E-2</v>
      </c>
      <c r="G30" s="530">
        <v>1.4999999999999999E-2</v>
      </c>
      <c r="H30" s="530">
        <v>1.4999999999999999E-2</v>
      </c>
      <c r="I30" s="530">
        <v>1.4999999999999999E-2</v>
      </c>
    </row>
    <row r="31" spans="1:9" x14ac:dyDescent="0.2">
      <c r="A31" s="529" t="s">
        <v>651</v>
      </c>
      <c r="C31" s="630" t="s">
        <v>650</v>
      </c>
      <c r="D31" s="643"/>
      <c r="E31" s="630" t="s">
        <v>403</v>
      </c>
      <c r="F31" s="631"/>
      <c r="G31" s="631"/>
      <c r="H31" s="631"/>
      <c r="I31" s="632"/>
    </row>
    <row r="32" spans="1:9" ht="17" thickBot="1" x14ac:dyDescent="0.25">
      <c r="A32" s="426" t="s">
        <v>649</v>
      </c>
      <c r="B32" s="197"/>
      <c r="C32" s="524">
        <v>0.11</v>
      </c>
      <c r="D32" s="523">
        <v>0.01</v>
      </c>
      <c r="E32" s="358">
        <v>0.05</v>
      </c>
      <c r="F32" s="358">
        <v>0.05</v>
      </c>
      <c r="G32" s="358">
        <v>0.05</v>
      </c>
      <c r="H32" s="358">
        <v>0.05</v>
      </c>
      <c r="I32" s="358">
        <v>0.05</v>
      </c>
    </row>
  </sheetData>
  <mergeCells count="8">
    <mergeCell ref="C31:D31"/>
    <mergeCell ref="E31:I31"/>
    <mergeCell ref="A1:E1"/>
    <mergeCell ref="B3:B4"/>
    <mergeCell ref="C3:D4"/>
    <mergeCell ref="E3:I4"/>
    <mergeCell ref="B18:D18"/>
    <mergeCell ref="E18:I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6B56-D65E-4345-8FAC-77780191B172}">
  <dimension ref="A2:E13"/>
  <sheetViews>
    <sheetView workbookViewId="0">
      <selection activeCell="D18" sqref="D18"/>
    </sheetView>
  </sheetViews>
  <sheetFormatPr baseColWidth="10" defaultColWidth="8.83203125" defaultRowHeight="16" x14ac:dyDescent="0.2"/>
  <cols>
    <col min="1" max="1" width="36.83203125" bestFit="1" customWidth="1"/>
    <col min="2" max="2" width="7.33203125" bestFit="1" customWidth="1"/>
    <col min="3" max="3" width="13.1640625" bestFit="1" customWidth="1"/>
    <col min="5" max="5" width="130.83203125" bestFit="1" customWidth="1"/>
  </cols>
  <sheetData>
    <row r="2" spans="1:5" x14ac:dyDescent="0.2">
      <c r="A2" s="415" t="s">
        <v>382</v>
      </c>
    </row>
    <row r="3" spans="1:5" ht="17" x14ac:dyDescent="0.2">
      <c r="A3" s="405" t="s">
        <v>366</v>
      </c>
      <c r="B3" s="406" t="s">
        <v>367</v>
      </c>
      <c r="E3" t="s">
        <v>368</v>
      </c>
    </row>
    <row r="4" spans="1:5" ht="21.5" customHeight="1" x14ac:dyDescent="0.2">
      <c r="A4" s="407" t="s">
        <v>369</v>
      </c>
      <c r="B4" s="408">
        <v>30.1</v>
      </c>
    </row>
    <row r="5" spans="1:5" ht="18.5" customHeight="1" x14ac:dyDescent="0.2">
      <c r="A5" s="407" t="s">
        <v>370</v>
      </c>
      <c r="B5" s="408">
        <v>19.7</v>
      </c>
      <c r="E5" s="3" t="s">
        <v>371</v>
      </c>
    </row>
    <row r="6" spans="1:5" ht="18.75" customHeight="1" x14ac:dyDescent="0.2">
      <c r="A6" s="407" t="s">
        <v>372</v>
      </c>
      <c r="B6" s="408">
        <v>38.5</v>
      </c>
    </row>
    <row r="7" spans="1:5" ht="16.25" customHeight="1" x14ac:dyDescent="0.2">
      <c r="A7" s="407" t="s">
        <v>373</v>
      </c>
      <c r="B7" s="408">
        <v>9.9</v>
      </c>
      <c r="E7" t="s">
        <v>374</v>
      </c>
    </row>
    <row r="8" spans="1:5" x14ac:dyDescent="0.2">
      <c r="A8" s="1"/>
      <c r="E8" t="s">
        <v>375</v>
      </c>
    </row>
    <row r="9" spans="1:5" ht="22.5" customHeight="1" x14ac:dyDescent="0.2">
      <c r="A9" s="409" t="s">
        <v>376</v>
      </c>
      <c r="B9" s="410">
        <f>AVERAGE(B4:B7)</f>
        <v>24.55</v>
      </c>
    </row>
    <row r="10" spans="1:5" x14ac:dyDescent="0.2">
      <c r="A10" s="1"/>
      <c r="E10" t="s">
        <v>377</v>
      </c>
    </row>
    <row r="11" spans="1:5" ht="17" x14ac:dyDescent="0.2">
      <c r="A11" s="411" t="s">
        <v>366</v>
      </c>
      <c r="B11" s="412" t="s">
        <v>378</v>
      </c>
      <c r="C11" s="412" t="s">
        <v>379</v>
      </c>
    </row>
    <row r="12" spans="1:5" ht="17" x14ac:dyDescent="0.2">
      <c r="A12" s="413" t="s">
        <v>380</v>
      </c>
      <c r="B12" s="414">
        <v>6.29</v>
      </c>
      <c r="C12" s="414">
        <f>B12*B9</f>
        <v>154.4195</v>
      </c>
    </row>
    <row r="13" spans="1:5" x14ac:dyDescent="0.2">
      <c r="A13" s="414" t="s">
        <v>381</v>
      </c>
      <c r="B13" s="414">
        <v>7.85</v>
      </c>
      <c r="C13" s="414">
        <f>B13*B9</f>
        <v>192.7175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A2B3-D9BA-437F-AB6F-2571CC6ADE91}">
  <dimension ref="A1:C13"/>
  <sheetViews>
    <sheetView topLeftCell="A6" zoomScale="50" workbookViewId="0">
      <selection activeCell="B55" sqref="B55"/>
    </sheetView>
  </sheetViews>
  <sheetFormatPr baseColWidth="10" defaultColWidth="8.83203125" defaultRowHeight="16" x14ac:dyDescent="0.2"/>
  <cols>
    <col min="1" max="1" width="62" bestFit="1" customWidth="1"/>
    <col min="2" max="2" width="255.5" customWidth="1"/>
    <col min="3" max="3" width="8.6640625" hidden="1" customWidth="1"/>
  </cols>
  <sheetData>
    <row r="1" spans="1:2" ht="88" customHeight="1" x14ac:dyDescent="0.35">
      <c r="A1" s="393" t="s">
        <v>356</v>
      </c>
    </row>
    <row r="2" spans="1:2" ht="31.25" customHeight="1" x14ac:dyDescent="0.2">
      <c r="A2" s="388" t="s">
        <v>340</v>
      </c>
    </row>
    <row r="3" spans="1:2" s="394" customFormat="1" ht="31.5" customHeight="1" x14ac:dyDescent="0.2">
      <c r="A3" s="647" t="s">
        <v>343</v>
      </c>
      <c r="B3" s="400" t="s">
        <v>357</v>
      </c>
    </row>
    <row r="4" spans="1:2" s="394" customFormat="1" ht="47" customHeight="1" x14ac:dyDescent="0.2">
      <c r="A4" s="648"/>
      <c r="B4" s="400" t="s">
        <v>358</v>
      </c>
    </row>
    <row r="5" spans="1:2" s="178" customFormat="1" ht="35" customHeight="1" x14ac:dyDescent="0.2">
      <c r="A5" s="398" t="s">
        <v>346</v>
      </c>
      <c r="B5" s="400" t="s">
        <v>359</v>
      </c>
    </row>
    <row r="6" spans="1:2" s="178" customFormat="1" ht="38.75" customHeight="1" x14ac:dyDescent="0.2">
      <c r="A6" s="399"/>
      <c r="B6" s="400" t="s">
        <v>360</v>
      </c>
    </row>
    <row r="7" spans="1:2" s="178" customFormat="1" ht="30.5" customHeight="1" x14ac:dyDescent="0.3">
      <c r="A7" s="396" t="s">
        <v>349</v>
      </c>
      <c r="B7" s="395" t="s">
        <v>361</v>
      </c>
    </row>
    <row r="8" spans="1:2" s="178" customFormat="1" ht="35.75" customHeight="1" x14ac:dyDescent="0.3">
      <c r="A8" s="397"/>
      <c r="B8" s="395" t="s">
        <v>362</v>
      </c>
    </row>
    <row r="10" spans="1:2" ht="24" x14ac:dyDescent="0.3">
      <c r="A10" s="401" t="s">
        <v>363</v>
      </c>
    </row>
    <row r="11" spans="1:2" ht="24" x14ac:dyDescent="0.2">
      <c r="A11" s="402"/>
    </row>
    <row r="12" spans="1:2" ht="24" x14ac:dyDescent="0.2">
      <c r="A12" s="403" t="s">
        <v>364</v>
      </c>
    </row>
    <row r="13" spans="1:2" ht="24" x14ac:dyDescent="0.2">
      <c r="A13" s="404" t="s">
        <v>365</v>
      </c>
    </row>
  </sheetData>
  <mergeCells count="1">
    <mergeCell ref="A3:A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BCC83-9A3B-41E4-A183-F20501041B56}">
  <dimension ref="B8:H49"/>
  <sheetViews>
    <sheetView topLeftCell="A41" workbookViewId="0">
      <selection activeCell="E45" sqref="E45"/>
    </sheetView>
  </sheetViews>
  <sheetFormatPr baseColWidth="10" defaultColWidth="8.83203125" defaultRowHeight="16" x14ac:dyDescent="0.2"/>
  <cols>
    <col min="2" max="2" width="39.33203125" customWidth="1"/>
    <col min="3" max="3" width="17.6640625" customWidth="1"/>
    <col min="4" max="8" width="10" bestFit="1" customWidth="1"/>
  </cols>
  <sheetData>
    <row r="8" spans="2:8" ht="17" x14ac:dyDescent="0.2">
      <c r="B8" s="176" t="s">
        <v>162</v>
      </c>
      <c r="E8" s="2"/>
      <c r="F8" s="2"/>
      <c r="G8" s="2"/>
      <c r="H8" s="2"/>
    </row>
    <row r="9" spans="2:8" ht="46" x14ac:dyDescent="0.3">
      <c r="B9" s="177" t="s">
        <v>243</v>
      </c>
      <c r="C9" s="182">
        <v>0.05</v>
      </c>
      <c r="E9" s="2"/>
      <c r="F9" s="2"/>
      <c r="G9" s="2"/>
      <c r="H9" s="2"/>
    </row>
    <row r="10" spans="2:8" ht="46" x14ac:dyDescent="0.3">
      <c r="B10" s="179" t="s">
        <v>244</v>
      </c>
      <c r="C10" s="183">
        <v>6.6400000000000001E-2</v>
      </c>
      <c r="E10" s="2"/>
      <c r="F10" s="2"/>
      <c r="G10" s="2"/>
      <c r="H10" s="2"/>
    </row>
    <row r="11" spans="2:8" ht="46" x14ac:dyDescent="0.3">
      <c r="B11" s="180" t="s">
        <v>245</v>
      </c>
      <c r="C11" s="184">
        <v>2023</v>
      </c>
      <c r="D11" s="21">
        <v>2024</v>
      </c>
      <c r="E11" s="185">
        <v>2025</v>
      </c>
      <c r="F11" s="185">
        <v>2026</v>
      </c>
      <c r="G11" s="185">
        <v>2027</v>
      </c>
      <c r="H11" s="185">
        <v>2028</v>
      </c>
    </row>
    <row r="12" spans="2:8" ht="46" x14ac:dyDescent="0.3">
      <c r="B12" s="181" t="s">
        <v>246</v>
      </c>
      <c r="C12" s="178"/>
      <c r="D12" s="110">
        <v>14975</v>
      </c>
      <c r="E12" s="110">
        <v>16903</v>
      </c>
      <c r="F12" s="110">
        <v>17748</v>
      </c>
      <c r="G12" s="110">
        <v>18636</v>
      </c>
      <c r="H12" s="110">
        <v>19567</v>
      </c>
    </row>
    <row r="18" spans="2:3" ht="32" customHeight="1" thickBot="1" x14ac:dyDescent="0.25"/>
    <row r="19" spans="2:3" ht="36" customHeight="1" x14ac:dyDescent="0.3">
      <c r="B19" s="189" t="s">
        <v>252</v>
      </c>
    </row>
    <row r="20" spans="2:3" ht="51" customHeight="1" x14ac:dyDescent="0.3">
      <c r="B20" s="187" t="s">
        <v>253</v>
      </c>
      <c r="C20" s="186">
        <f>D12*1.05/(C10-C9)</f>
        <v>958765.24390243914</v>
      </c>
    </row>
    <row r="21" spans="2:3" ht="18" customHeight="1" x14ac:dyDescent="0.3">
      <c r="B21" s="188" t="s">
        <v>248</v>
      </c>
    </row>
    <row r="22" spans="2:3" ht="20" x14ac:dyDescent="0.25">
      <c r="B22" s="191" t="s">
        <v>251</v>
      </c>
      <c r="C22" s="190">
        <v>948698</v>
      </c>
    </row>
    <row r="23" spans="2:3" ht="19.25" customHeight="1" thickBot="1" x14ac:dyDescent="0.3">
      <c r="B23" s="192" t="s">
        <v>250</v>
      </c>
      <c r="C23" s="190">
        <v>14165</v>
      </c>
    </row>
    <row r="24" spans="2:3" ht="21" thickBot="1" x14ac:dyDescent="0.3">
      <c r="B24" s="193" t="s">
        <v>248</v>
      </c>
      <c r="C24" s="186">
        <f>C22+C23</f>
        <v>962863</v>
      </c>
    </row>
    <row r="27" spans="2:3" ht="17" thickBot="1" x14ac:dyDescent="0.25"/>
    <row r="28" spans="2:3" ht="23" x14ac:dyDescent="0.3">
      <c r="B28" s="189" t="s">
        <v>254</v>
      </c>
    </row>
    <row r="29" spans="2:3" ht="50" x14ac:dyDescent="0.3">
      <c r="B29" s="187" t="s">
        <v>255</v>
      </c>
      <c r="C29" s="186">
        <f>E12*1.05/(C10-C9)</f>
        <v>1082204.2682926832</v>
      </c>
    </row>
    <row r="30" spans="2:3" ht="23" x14ac:dyDescent="0.3">
      <c r="B30" s="188" t="s">
        <v>248</v>
      </c>
    </row>
    <row r="31" spans="2:3" ht="20" x14ac:dyDescent="0.25">
      <c r="B31" s="191" t="s">
        <v>251</v>
      </c>
      <c r="C31" s="190">
        <v>948698</v>
      </c>
    </row>
    <row r="32" spans="2:3" ht="21" thickBot="1" x14ac:dyDescent="0.3">
      <c r="B32" s="192" t="s">
        <v>250</v>
      </c>
      <c r="C32" s="190">
        <v>15124</v>
      </c>
    </row>
    <row r="33" spans="2:3" ht="21" thickBot="1" x14ac:dyDescent="0.3">
      <c r="B33" s="193" t="s">
        <v>248</v>
      </c>
      <c r="C33" s="190">
        <f>C31+C32</f>
        <v>963822</v>
      </c>
    </row>
    <row r="35" spans="2:3" ht="17" thickBot="1" x14ac:dyDescent="0.25"/>
    <row r="36" spans="2:3" ht="23" x14ac:dyDescent="0.3">
      <c r="B36" s="189" t="s">
        <v>256</v>
      </c>
    </row>
    <row r="37" spans="2:3" ht="50" x14ac:dyDescent="0.3">
      <c r="B37" s="187" t="s">
        <v>257</v>
      </c>
      <c r="C37" s="186">
        <f>F12*1.05/(C10-C9)</f>
        <v>1136304.8780487806</v>
      </c>
    </row>
    <row r="38" spans="2:3" ht="23" x14ac:dyDescent="0.3">
      <c r="B38" s="188" t="s">
        <v>248</v>
      </c>
    </row>
    <row r="39" spans="2:3" ht="20" x14ac:dyDescent="0.25">
      <c r="B39" s="191" t="s">
        <v>251</v>
      </c>
      <c r="C39" s="190">
        <v>948698</v>
      </c>
    </row>
    <row r="40" spans="2:3" ht="21" thickBot="1" x14ac:dyDescent="0.3">
      <c r="B40" s="192" t="s">
        <v>250</v>
      </c>
      <c r="C40" s="190">
        <v>15021</v>
      </c>
    </row>
    <row r="41" spans="2:3" ht="21" thickBot="1" x14ac:dyDescent="0.3">
      <c r="B41" s="193" t="s">
        <v>248</v>
      </c>
      <c r="C41" s="190">
        <f>C39+C40</f>
        <v>963719</v>
      </c>
    </row>
    <row r="43" spans="2:3" ht="17" thickBot="1" x14ac:dyDescent="0.25"/>
    <row r="44" spans="2:3" ht="23" x14ac:dyDescent="0.3">
      <c r="B44" s="189" t="s">
        <v>259</v>
      </c>
    </row>
    <row r="45" spans="2:3" ht="50" x14ac:dyDescent="0.3">
      <c r="B45" s="187" t="s">
        <v>258</v>
      </c>
      <c r="C45" s="186">
        <f>G12*1.05/(C10-C9)</f>
        <v>1193158.5365853659</v>
      </c>
    </row>
    <row r="46" spans="2:3" ht="23" x14ac:dyDescent="0.3">
      <c r="B46" s="188" t="s">
        <v>248</v>
      </c>
    </row>
    <row r="47" spans="2:3" ht="20" x14ac:dyDescent="0.25">
      <c r="B47" s="191" t="s">
        <v>251</v>
      </c>
      <c r="C47" s="190">
        <v>948698</v>
      </c>
    </row>
    <row r="48" spans="2:3" ht="21" thickBot="1" x14ac:dyDescent="0.3">
      <c r="B48" s="192" t="s">
        <v>250</v>
      </c>
      <c r="C48" s="190">
        <v>14919</v>
      </c>
    </row>
    <row r="49" spans="2:3" ht="21" thickBot="1" x14ac:dyDescent="0.3">
      <c r="B49" s="193" t="s">
        <v>248</v>
      </c>
      <c r="C49" s="190">
        <f>C47+C48</f>
        <v>963617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Walmart</vt:lpstr>
      <vt:lpstr>Walmart (12-5)</vt:lpstr>
      <vt:lpstr>Walmart (12-4)</vt:lpstr>
      <vt:lpstr>Walmart (12-3)</vt:lpstr>
      <vt:lpstr>Walmart (12-2)</vt:lpstr>
      <vt:lpstr>Target</vt:lpstr>
      <vt:lpstr>Target (12-5)</vt:lpstr>
      <vt:lpstr>Target (12-4)</vt:lpstr>
      <vt:lpstr>Target (12-3)</vt:lpstr>
      <vt:lpstr>Target (12-2)</vt:lpstr>
      <vt:lpstr>Market Multiple Approach</vt:lpstr>
      <vt:lpstr>Comparision of 3 methods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Anatsui</dc:creator>
  <cp:lastModifiedBy>Victoria Anatsui</cp:lastModifiedBy>
  <dcterms:created xsi:type="dcterms:W3CDTF">2025-01-30T02:19:47Z</dcterms:created>
  <dcterms:modified xsi:type="dcterms:W3CDTF">2025-05-07T21:59:37Z</dcterms:modified>
</cp:coreProperties>
</file>